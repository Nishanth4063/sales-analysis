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 activeTab="2"/>
  </bookViews>
  <sheets>
    <sheet name="Region Pivot" sheetId="2" r:id="rId1"/>
    <sheet name="Profit Pivot" sheetId="3" r:id="rId2"/>
    <sheet name="sales_data" sheetId="1" r:id="rId3"/>
  </sheets>
  <calcPr calcId="124519"/>
  <pivotCaches>
    <pivotCache cacheId="1" r:id="rId4"/>
    <pivotCache cacheId="96" r:id="rId5"/>
  </pivotCaches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O3" i="1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2"/>
  <c r="R5"/>
  <c r="R3"/>
  <c r="R1"/>
</calcChain>
</file>

<file path=xl/sharedStrings.xml><?xml version="1.0" encoding="utf-8"?>
<sst xmlns="http://schemas.openxmlformats.org/spreadsheetml/2006/main" count="7055" uniqueCount="60">
  <si>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</si>
  <si>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</si>
  <si>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</si>
  <si>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</si>
  <si>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</si>
  <si>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</si>
  <si>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</si>
  <si>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</si>
  <si>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</si>
  <si>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</si>
  <si>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</si>
  <si>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</si>
  <si>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</si>
  <si>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</si>
  <si>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</si>
  <si>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</si>
  <si>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</si>
  <si>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</si>
  <si>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</si>
  <si>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</si>
  <si>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</si>
  <si>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</si>
  <si>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</si>
  <si>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</si>
  <si>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</si>
  <si>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</si>
  <si>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</si>
  <si>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</si>
  <si>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</si>
  <si>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</si>
  <si>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</si>
  <si>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</si>
  <si>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</si>
  <si>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</si>
  <si>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</si>
  <si>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</si>
  <si>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</si>
  <si>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</si>
  <si>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</si>
  <si>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</si>
  <si>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</si>
  <si>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</si>
  <si>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</si>
  <si>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</si>
  <si>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</si>
  <si>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</si>
  <si>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</si>
  <si>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</si>
  <si>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</si>
  <si>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</si>
  <si>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</si>
  <si>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</si>
  <si>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</si>
  <si>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</si>
  <si>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Row Labels</t>
  </si>
  <si>
    <t>Grand Total</t>
  </si>
  <si>
    <t>Sum of Sales_Amount</t>
  </si>
  <si>
    <t>Column Labels</t>
  </si>
  <si>
    <t>Profit</t>
  </si>
  <si>
    <t>Sum of Profit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</si>
</sst>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yyyy\-mm\-dd"/>
  </numFmts>
  <fonts count="4">
    <font>
      <sz val="10"/>
      <name val="Arial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3" fillId="0" borderId="0" xfId="0" applyFont="1"/>
    <xf numFmtId="43" fontId="2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Comma" xfId="1" builtinId="3"/>
    <cellStyle name="Normal" xfId="0" builtinId="0"/>
  </cellStyles>
  <dxfs count="1"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[Project_1.xlsx]Profit Pivot!PivotTable2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Profit by Category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'Profit Pivot'!$B$3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'Profit Pivot'!$A$4:$A$8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Food</c:v>
                </c:pt>
                <c:pt idx="3">
                  <c:v>Furniture</c:v>
                </c:pt>
              </c:strCache>
            </c:strRef>
          </c:cat>
          <c:val>
            <c:numRef>
              <c:f>'Profit Pivot'!$B$4:$B$8</c:f>
              <c:numCache>
                <c:formatCode>General</c:formatCode>
                <c:ptCount val="4"/>
                <c:pt idx="0">
                  <c:v>1712957.7999999998</c:v>
                </c:pt>
                <c:pt idx="1">
                  <c:v>1574320.0600000003</c:v>
                </c:pt>
                <c:pt idx="2">
                  <c:v>1421108.05</c:v>
                </c:pt>
                <c:pt idx="3">
                  <c:v>1779461.1599999995</c:v>
                </c:pt>
              </c:numCache>
            </c:numRef>
          </c:val>
        </c:ser>
        <c:axId val="115798016"/>
        <c:axId val="115799552"/>
      </c:barChart>
      <c:catAx>
        <c:axId val="115798016"/>
        <c:scaling>
          <c:orientation val="minMax"/>
        </c:scaling>
        <c:axPos val="b"/>
        <c:tickLblPos val="nextTo"/>
        <c:crossAx val="115799552"/>
        <c:crosses val="autoZero"/>
        <c:auto val="1"/>
        <c:lblAlgn val="ctr"/>
        <c:lblOffset val="100"/>
      </c:catAx>
      <c:valAx>
        <c:axId val="115799552"/>
        <c:scaling>
          <c:orientation val="minMax"/>
        </c:scaling>
        <c:axPos val="l"/>
        <c:majorGridlines/>
        <c:numFmt formatCode="General" sourceLinked="1"/>
        <c:tickLblPos val="nextTo"/>
        <c:crossAx val="1157980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393700</xdr:colOff>
      <xdr:row>5</xdr:row>
      <xdr:rowOff>95250</xdr:rowOff>
    </xdr:from>
    <xdr:to>
      <xdr:col>11</xdr:col>
      <xdr:colOff>88900</xdr:colOff>
      <xdr:row>22</xdr:row>
      <xdr:rowOff>139700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303.709104513888" createdVersion="3" refreshedVersion="3" minRefreshableVersion="3" recordCount="1000">
  <cacheSource type="worksheet">
    <worksheetSource ref="A1:O1001" sheet="sales_data"/>
  </cacheSource>
  <cacheFields count="15">
    <cacheField name="Product_ID" numFmtId="0">
      <sharedItems containsSemiMixedTypes="0" containsString="0" containsNumber="1" containsInteger="1" minValue="1001" maxValue="1100"/>
    </cacheField>
    <cacheField name="Sale_Date" numFmtId="164">
      <sharedItems containsSemiMixedTypes="0" containsNonDate="0" containsDate="1" containsString="0" minDate="2023-01-01T00:00:00" maxDate="2024-01-02T00:00:00"/>
    </cacheField>
    <cacheField name="Sales_Rep" numFmtId="0">
      <sharedItems/>
    </cacheField>
    <cacheField name="Region" numFmtId="0">
      <sharedItems/>
    </cacheField>
    <cacheField name="Sales_Amount" numFmtId="0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/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0">
      <sharedItems containsSemiMixedTypes="0" containsString="0" containsNumber="1" minValue="60.28" maxValue="4995.3"/>
    </cacheField>
    <cacheField name="Unit_Price" numFmtId="0">
      <sharedItems containsSemiMixedTypes="0" containsString="0" containsNumber="1" minValue="167.12" maxValue="5442.15"/>
    </cacheField>
    <cacheField name="Customer_Type" numFmtId="0">
      <sharedItems/>
    </cacheField>
    <cacheField name="Discount" numFmtId="0">
      <sharedItems containsSemiMixedTypes="0" containsString="0" containsNumber="1" minValue="0" maxValue="0.3"/>
    </cacheField>
    <cacheField name="Payment_Method" numFmtId="0">
      <sharedItems/>
    </cacheField>
    <cacheField name="Sales_Channel" numFmtId="0">
      <sharedItems/>
    </cacheField>
    <cacheField name="Region_and_Sales_Rep" numFmtId="0">
      <sharedItems/>
    </cacheField>
    <cacheField name="Profit" numFmtId="0">
      <sharedItems containsSemiMixedTypes="0" containsString="0" containsNumber="1" minValue="17.360000000000127" maxValue="23441.110000000015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320.51117002315" createdVersion="3" refreshedVersion="3" minRefreshableVersion="3" recordCount="1000">
  <cacheSource type="worksheet">
    <worksheetSource ref="A1:N1001" sheet="sales_data"/>
  </cacheSource>
  <cacheFields count="14">
    <cacheField name="Product_ID" numFmtId="0">
      <sharedItems containsSemiMixedTypes="0" containsString="0" containsNumber="1" containsInteger="1" minValue="1001" maxValue="1100"/>
    </cacheField>
    <cacheField name="Sale_Date" numFmtId="164">
      <sharedItems containsSemiMixedTypes="0" containsNonDate="0" containsDate="1" containsString="0" minDate="2023-01-01T00:00:00" maxDate="2024-01-02T00:00:00"/>
    </cacheField>
    <cacheField name="Sales_Rep" numFmtId="0">
      <sharedItems count="5">
        <s v="Bob"/>
        <s v="David"/>
        <s v="Charlie"/>
        <s v="Eve"/>
        <s v="Alice"/>
      </sharedItems>
    </cacheField>
    <cacheField name="Region" numFmtId="0">
      <sharedItems count="4">
        <s v="North"/>
        <s v="West"/>
        <s v="South"/>
        <s v="East"/>
      </sharedItems>
    </cacheField>
    <cacheField name="Sales_Amount" numFmtId="0">
      <sharedItems containsSemiMixedTypes="0" containsString="0" containsNumber="1" minValue="100.12" maxValue="9989.0400000000009"/>
    </cacheField>
    <cacheField name="Quantity_Sold" numFmtId="0">
      <sharedItems containsSemiMixedTypes="0" containsString="0" containsNumber="1" containsInteger="1" minValue="1" maxValue="49"/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0">
      <sharedItems containsSemiMixedTypes="0" containsString="0" containsNumber="1" minValue="60.28" maxValue="4995.3"/>
    </cacheField>
    <cacheField name="Unit_Price" numFmtId="0">
      <sharedItems containsSemiMixedTypes="0" containsString="0" containsNumber="1" minValue="167.12" maxValue="5442.15"/>
    </cacheField>
    <cacheField name="Customer_Type" numFmtId="0">
      <sharedItems/>
    </cacheField>
    <cacheField name="Discount" numFmtId="0">
      <sharedItems containsSemiMixedTypes="0" containsString="0" containsNumber="1" minValue="0" maxValue="0.3"/>
    </cacheField>
    <cacheField name="Payment_Method" numFmtId="0">
      <sharedItems/>
    </cacheField>
    <cacheField name="Sales_Channel" numFmtId="0">
      <sharedItems/>
    </cacheField>
    <cacheField name="Region_and_Sales_Rep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052"/>
    <d v="2023-02-03T00:00:00"/>
    <s v="Bob"/>
    <s v="North"/>
    <n v="5053.97"/>
    <n v="18"/>
    <x v="0"/>
    <n v="152.75"/>
    <n v="267.22000000000003"/>
    <s v="Returning"/>
    <n v="0.09"/>
    <s v="Cash"/>
    <s v="Online"/>
    <s v="North-Bob"/>
    <n v="2060.4600000000005"/>
  </r>
  <r>
    <n v="1093"/>
    <d v="2023-04-21T00:00:00"/>
    <s v="Bob"/>
    <s v="West"/>
    <n v="4384.0200000000004"/>
    <n v="17"/>
    <x v="0"/>
    <n v="3816.39"/>
    <n v="4209.4399999999996"/>
    <s v="Returning"/>
    <n v="0.11"/>
    <s v="Cash"/>
    <s v="Retail"/>
    <s v="West-Bob"/>
    <n v="6681.8499999999949"/>
  </r>
  <r>
    <n v="1015"/>
    <d v="2023-09-21T00:00:00"/>
    <s v="David"/>
    <s v="South"/>
    <n v="4631.2299999999996"/>
    <n v="30"/>
    <x v="1"/>
    <n v="261.56"/>
    <n v="371.4"/>
    <s v="Returning"/>
    <n v="0.2"/>
    <s v="Bank Transfer"/>
    <s v="Retail"/>
    <s v="South-David"/>
    <n v="3295.1999999999994"/>
  </r>
  <r>
    <n v="1072"/>
    <d v="2023-08-24T00:00:00"/>
    <s v="Bob"/>
    <s v="South"/>
    <n v="2167.94"/>
    <n v="39"/>
    <x v="2"/>
    <n v="4330.03"/>
    <n v="4467.75"/>
    <s v="New"/>
    <n v="0.02"/>
    <s v="Credit Card"/>
    <s v="Retail"/>
    <s v="South-Bob"/>
    <n v="5371.0800000000099"/>
  </r>
  <r>
    <n v="1061"/>
    <d v="2023-03-24T00:00:00"/>
    <s v="Charlie"/>
    <s v="East"/>
    <n v="3750.2"/>
    <n v="13"/>
    <x v="3"/>
    <n v="637.37"/>
    <n v="692.71"/>
    <s v="New"/>
    <n v="0.08"/>
    <s v="Credit Card"/>
    <s v="Online"/>
    <s v="East-Charlie"/>
    <n v="719.42000000000041"/>
  </r>
  <r>
    <n v="1021"/>
    <d v="2023-02-11T00:00:00"/>
    <s v="Charlie"/>
    <s v="West"/>
    <n v="3761.15"/>
    <n v="32"/>
    <x v="1"/>
    <n v="900.79"/>
    <n v="1106.51"/>
    <s v="New"/>
    <n v="0.21"/>
    <s v="Cash"/>
    <s v="Online"/>
    <s v="West-Charlie"/>
    <n v="6583.0400000000009"/>
  </r>
  <r>
    <n v="1083"/>
    <d v="2023-04-11T00:00:00"/>
    <s v="Bob"/>
    <s v="East"/>
    <n v="618.30999999999995"/>
    <n v="29"/>
    <x v="0"/>
    <n v="2408.81"/>
    <n v="2624.09"/>
    <s v="Returning"/>
    <n v="0.14000000000000001"/>
    <s v="Cash"/>
    <s v="Online"/>
    <s v="West-Bob"/>
    <n v="6243.1200000000063"/>
  </r>
  <r>
    <n v="1087"/>
    <d v="2023-01-06T00:00:00"/>
    <s v="Eve"/>
    <s v="South"/>
    <n v="7698.92"/>
    <n v="46"/>
    <x v="0"/>
    <n v="3702.51"/>
    <n v="3964.65"/>
    <s v="New"/>
    <n v="0.12"/>
    <s v="Bank Transfer"/>
    <s v="Online"/>
    <s v="South-Eve"/>
    <n v="12058.439999999995"/>
  </r>
  <r>
    <n v="1075"/>
    <d v="2023-06-29T00:00:00"/>
    <s v="David"/>
    <s v="South"/>
    <n v="4223.3900000000003"/>
    <n v="30"/>
    <x v="0"/>
    <n v="738.06"/>
    <n v="1095.45"/>
    <s v="New"/>
    <n v="0.05"/>
    <s v="Bank Transfer"/>
    <s v="Online"/>
    <s v="South-David"/>
    <n v="10721.700000000003"/>
  </r>
  <r>
    <n v="1075"/>
    <d v="2023-10-09T00:00:00"/>
    <s v="Charlie"/>
    <s v="West"/>
    <n v="8239.58"/>
    <n v="18"/>
    <x v="2"/>
    <n v="2228.35"/>
    <n v="2682.34"/>
    <s v="New"/>
    <n v="0.13"/>
    <s v="Bank Transfer"/>
    <s v="Online"/>
    <s v="West-Charlie"/>
    <n v="8171.8200000000043"/>
  </r>
  <r>
    <n v="1088"/>
    <d v="2023-11-16T00:00:00"/>
    <s v="Eve"/>
    <s v="North"/>
    <n v="8518.4500000000007"/>
    <n v="13"/>
    <x v="0"/>
    <n v="2440.11"/>
    <n v="2517.6"/>
    <s v="New"/>
    <n v="0.23"/>
    <s v="Bank Transfer"/>
    <s v="Retail"/>
    <s v="North-Eve"/>
    <n v="1007.3699999999972"/>
  </r>
  <r>
    <n v="1100"/>
    <d v="2023-08-14T00:00:00"/>
    <s v="Bob"/>
    <s v="West"/>
    <n v="2198.7399999999998"/>
    <n v="43"/>
    <x v="1"/>
    <n v="1100.81"/>
    <n v="1137.44"/>
    <s v="Returning"/>
    <n v="0.08"/>
    <s v="Bank Transfer"/>
    <s v="Online"/>
    <s v="West-Bob"/>
    <n v="1575.0900000000047"/>
  </r>
  <r>
    <n v="1024"/>
    <d v="2023-11-11T00:00:00"/>
    <s v="Eve"/>
    <s v="West"/>
    <n v="6607.8"/>
    <n v="21"/>
    <x v="1"/>
    <n v="622.01"/>
    <n v="641.09"/>
    <s v="Returning"/>
    <n v="0"/>
    <s v="Bank Transfer"/>
    <s v="Retail"/>
    <s v="West-Eve"/>
    <n v="400.68000000000086"/>
  </r>
  <r>
    <n v="1003"/>
    <d v="2023-12-31T00:00:00"/>
    <s v="Alice"/>
    <s v="South"/>
    <n v="4775.59"/>
    <n v="30"/>
    <x v="0"/>
    <n v="4190.28"/>
    <n v="4270.6499999999996"/>
    <s v="New"/>
    <n v="0.2"/>
    <s v="Cash"/>
    <s v="Online"/>
    <s v="South-Alice"/>
    <n v="2411.0999999999967"/>
  </r>
  <r>
    <n v="1022"/>
    <d v="2023-08-17T00:00:00"/>
    <s v="Charlie"/>
    <s v="South"/>
    <n v="8813.5499999999993"/>
    <n v="21"/>
    <x v="1"/>
    <n v="2537.1999999999998"/>
    <n v="2869.6"/>
    <s v="New"/>
    <n v="0.28999999999999998"/>
    <s v="Bank Transfer"/>
    <s v="Retail"/>
    <s v="South-Charlie"/>
    <n v="6980.4000000000015"/>
  </r>
  <r>
    <n v="1053"/>
    <d v="2023-10-16T00:00:00"/>
    <s v="Bob"/>
    <s v="North"/>
    <n v="2235.83"/>
    <n v="48"/>
    <x v="0"/>
    <n v="121.19"/>
    <n v="487.65"/>
    <s v="New"/>
    <n v="0.18"/>
    <s v="Cash"/>
    <s v="Retail"/>
    <s v="North-Bob"/>
    <n v="17590.079999999998"/>
  </r>
  <r>
    <n v="1002"/>
    <d v="2023-05-30T00:00:00"/>
    <s v="David"/>
    <s v="North"/>
    <n v="6810.35"/>
    <n v="17"/>
    <x v="0"/>
    <n v="4024.76"/>
    <n v="4420.1499999999996"/>
    <s v="Returning"/>
    <n v="0.04"/>
    <s v="Cash"/>
    <s v="Online"/>
    <s v="North-David"/>
    <n v="6721.6299999999901"/>
  </r>
  <r>
    <n v="1088"/>
    <d v="2023-10-04T00:00:00"/>
    <s v="Bob"/>
    <s v="East"/>
    <n v="6116.75"/>
    <n v="40"/>
    <x v="3"/>
    <n v="4904.93"/>
    <n v="5034.3500000000004"/>
    <s v="New"/>
    <n v="0.1"/>
    <s v="Credit Card"/>
    <s v="Retail"/>
    <s v="East-Bob"/>
    <n v="5176.8000000000029"/>
  </r>
  <r>
    <n v="1030"/>
    <d v="2023-07-17T00:00:00"/>
    <s v="David"/>
    <s v="West"/>
    <n v="3023.48"/>
    <n v="19"/>
    <x v="2"/>
    <n v="3049.33"/>
    <n v="3209.22"/>
    <s v="Returning"/>
    <n v="0.26"/>
    <s v="Cash"/>
    <s v="Online"/>
    <s v="West-David"/>
    <n v="3037.9099999999976"/>
  </r>
  <r>
    <n v="1038"/>
    <d v="2023-03-11T00:00:00"/>
    <s v="Bob"/>
    <s v="South"/>
    <n v="1452.35"/>
    <n v="15"/>
    <x v="2"/>
    <n v="2543.36"/>
    <n v="2790.1"/>
    <s v="Returning"/>
    <n v="7.0000000000000007E-2"/>
    <s v="Cash"/>
    <s v="Online"/>
    <s v="South-Bob"/>
    <n v="3701.0999999999967"/>
  </r>
  <r>
    <n v="1002"/>
    <d v="2023-04-22T00:00:00"/>
    <s v="Eve"/>
    <s v="North"/>
    <n v="6551.23"/>
    <n v="9"/>
    <x v="3"/>
    <n v="4398.16"/>
    <n v="4439.12"/>
    <s v="New"/>
    <n v="0.18"/>
    <s v="Bank Transfer"/>
    <s v="Online"/>
    <s v="North-Eve"/>
    <n v="368.64000000000033"/>
  </r>
  <r>
    <n v="1064"/>
    <d v="2023-01-04T00:00:00"/>
    <s v="Eve"/>
    <s v="East"/>
    <n v="7412.11"/>
    <n v="10"/>
    <x v="3"/>
    <n v="4764.96"/>
    <n v="5074.42"/>
    <s v="New"/>
    <n v="0.12"/>
    <s v="Cash"/>
    <s v="Online"/>
    <s v="East-Eve"/>
    <n v="3094.6000000000004"/>
  </r>
  <r>
    <n v="1060"/>
    <d v="2023-12-16T00:00:00"/>
    <s v="Eve"/>
    <s v="East"/>
    <n v="3224.71"/>
    <n v="44"/>
    <x v="2"/>
    <n v="3784.96"/>
    <n v="4276.99"/>
    <s v="New"/>
    <n v="0.06"/>
    <s v="Bank Transfer"/>
    <s v="Retail"/>
    <s v="East-Eve"/>
    <n v="21649.319999999989"/>
  </r>
  <r>
    <n v="1021"/>
    <d v="2023-11-27T00:00:00"/>
    <s v="Alice"/>
    <s v="South"/>
    <n v="6483.84"/>
    <n v="31"/>
    <x v="0"/>
    <n v="2254.9899999999998"/>
    <n v="2441.79"/>
    <s v="Returning"/>
    <n v="0.24"/>
    <s v="Bank Transfer"/>
    <s v="Online"/>
    <s v="South-Alice"/>
    <n v="5790.8000000000056"/>
  </r>
  <r>
    <n v="1033"/>
    <d v="2023-11-14T00:00:00"/>
    <s v="David"/>
    <s v="South"/>
    <n v="4011.8"/>
    <n v="23"/>
    <x v="0"/>
    <n v="2981.5"/>
    <n v="3360.4"/>
    <s v="Returning"/>
    <n v="0.22"/>
    <s v="Bank Transfer"/>
    <s v="Retail"/>
    <s v="South-David"/>
    <n v="8714.7000000000025"/>
  </r>
  <r>
    <n v="1076"/>
    <d v="2023-12-16T00:00:00"/>
    <s v="Eve"/>
    <s v="East"/>
    <n v="7160.75"/>
    <n v="30"/>
    <x v="2"/>
    <n v="3519.63"/>
    <n v="3774.65"/>
    <s v="New"/>
    <n v="0.2"/>
    <s v="Credit Card"/>
    <s v="Retail"/>
    <s v="East-Eve"/>
    <n v="7650.5999999999995"/>
  </r>
  <r>
    <n v="1058"/>
    <d v="2023-04-05T00:00:00"/>
    <s v="Alice"/>
    <s v="North"/>
    <n v="2072.23"/>
    <n v="33"/>
    <x v="0"/>
    <n v="1011.65"/>
    <n v="1084.28"/>
    <s v="Returning"/>
    <n v="7.0000000000000007E-2"/>
    <s v="Bank Transfer"/>
    <s v="Retail"/>
    <s v="North-Alice"/>
    <n v="2396.79"/>
  </r>
  <r>
    <n v="1022"/>
    <d v="2023-06-01T00:00:00"/>
    <s v="David"/>
    <s v="East"/>
    <n v="8913.1299999999992"/>
    <n v="9"/>
    <x v="3"/>
    <n v="2263.65"/>
    <n v="2558.9499999999998"/>
    <s v="New"/>
    <n v="0.03"/>
    <s v="Cash"/>
    <s v="Online"/>
    <s v="East-David"/>
    <n v="2657.6999999999975"/>
  </r>
  <r>
    <n v="1089"/>
    <d v="2023-11-07T00:00:00"/>
    <s v="Bob"/>
    <s v="West"/>
    <n v="2945.36"/>
    <n v="47"/>
    <x v="0"/>
    <n v="4157.62"/>
    <n v="4314.5600000000004"/>
    <s v="New"/>
    <n v="0.17"/>
    <s v="Bank Transfer"/>
    <s v="Retail"/>
    <s v="West-Bob"/>
    <n v="7376.1800000000239"/>
  </r>
  <r>
    <n v="1049"/>
    <d v="2023-05-17T00:00:00"/>
    <s v="Alice"/>
    <s v="West"/>
    <n v="3741.08"/>
    <n v="1"/>
    <x v="0"/>
    <n v="3290.89"/>
    <n v="3317.75"/>
    <s v="Returning"/>
    <n v="0.17"/>
    <s v="Bank Transfer"/>
    <s v="Online"/>
    <s v="West-Alice"/>
    <n v="26.860000000000127"/>
  </r>
  <r>
    <n v="1091"/>
    <d v="2023-09-04T00:00:00"/>
    <s v="Charlie"/>
    <s v="South"/>
    <n v="675.11"/>
    <n v="44"/>
    <x v="1"/>
    <n v="2085.46"/>
    <n v="2406.58"/>
    <s v="Returning"/>
    <n v="0.06"/>
    <s v="Bank Transfer"/>
    <s v="Retail"/>
    <s v="South-Charlie"/>
    <n v="14129.279999999995"/>
  </r>
  <r>
    <n v="1059"/>
    <d v="2023-08-31T00:00:00"/>
    <s v="Alice"/>
    <s v="North"/>
    <n v="1203.97"/>
    <n v="35"/>
    <x v="1"/>
    <n v="3333.64"/>
    <n v="3764.52"/>
    <s v="Returning"/>
    <n v="0.02"/>
    <s v="Credit Card"/>
    <s v="Online"/>
    <s v="North-Alice"/>
    <n v="15080.800000000003"/>
  </r>
  <r>
    <n v="1042"/>
    <d v="2023-01-31T00:00:00"/>
    <s v="Alice"/>
    <s v="North"/>
    <n v="5207.03"/>
    <n v="11"/>
    <x v="1"/>
    <n v="635.20000000000005"/>
    <n v="814.14"/>
    <s v="Returning"/>
    <n v="0.02"/>
    <s v="Cash"/>
    <s v="Online"/>
    <s v="North-Alice"/>
    <n v="1968.3399999999992"/>
  </r>
  <r>
    <n v="1092"/>
    <d v="2023-02-09T00:00:00"/>
    <s v="David"/>
    <s v="West"/>
    <n v="2749.17"/>
    <n v="34"/>
    <x v="0"/>
    <n v="2037.41"/>
    <n v="2238.65"/>
    <s v="New"/>
    <n v="0.3"/>
    <s v="Credit Card"/>
    <s v="Online"/>
    <s v="West-David"/>
    <n v="6842.16"/>
  </r>
  <r>
    <n v="1060"/>
    <d v="2023-08-17T00:00:00"/>
    <s v="Bob"/>
    <s v="East"/>
    <n v="8371.25"/>
    <n v="16"/>
    <x v="2"/>
    <n v="3975.99"/>
    <n v="4422.59"/>
    <s v="New"/>
    <n v="0.24"/>
    <s v="Cash"/>
    <s v="Online"/>
    <s v="East-Bob"/>
    <n v="7145.6000000000058"/>
  </r>
  <r>
    <n v="1080"/>
    <d v="2023-02-05T00:00:00"/>
    <s v="Charlie"/>
    <s v="South"/>
    <n v="245.46"/>
    <n v="9"/>
    <x v="3"/>
    <n v="1141.52"/>
    <n v="1550.19"/>
    <s v="New"/>
    <n v="0.28000000000000003"/>
    <s v="Credit Card"/>
    <s v="Retail"/>
    <s v="South-Charlie"/>
    <n v="3678.0300000000007"/>
  </r>
  <r>
    <n v="1015"/>
    <d v="2023-08-11T00:00:00"/>
    <s v="Eve"/>
    <s v="East"/>
    <n v="3853.03"/>
    <n v="32"/>
    <x v="0"/>
    <n v="970.51"/>
    <n v="1330.84"/>
    <s v="Returning"/>
    <n v="0.06"/>
    <s v="Cash"/>
    <s v="Retail"/>
    <s v="East-Eve"/>
    <n v="11530.559999999998"/>
  </r>
  <r>
    <n v="1062"/>
    <d v="2023-01-06T00:00:00"/>
    <s v="Eve"/>
    <s v="East"/>
    <n v="3439.72"/>
    <n v="15"/>
    <x v="2"/>
    <n v="4756.55"/>
    <n v="4888.46"/>
    <s v="New"/>
    <n v="0.28999999999999998"/>
    <s v="Credit Card"/>
    <s v="Online"/>
    <s v="East-Eve"/>
    <n v="1978.6499999999978"/>
  </r>
  <r>
    <n v="1062"/>
    <d v="2023-11-18T00:00:00"/>
    <s v="Alice"/>
    <s v="East"/>
    <n v="291.33999999999997"/>
    <n v="12"/>
    <x v="0"/>
    <n v="1088.99"/>
    <n v="1545"/>
    <s v="Returning"/>
    <n v="0.04"/>
    <s v="Bank Transfer"/>
    <s v="Retail"/>
    <s v="East-Alice"/>
    <n v="5472.12"/>
  </r>
  <r>
    <n v="1047"/>
    <d v="2023-08-08T00:00:00"/>
    <s v="David"/>
    <s v="North"/>
    <n v="1331.25"/>
    <n v="33"/>
    <x v="3"/>
    <n v="1341.55"/>
    <n v="1427.21"/>
    <s v="Returning"/>
    <n v="0.15"/>
    <s v="Credit Card"/>
    <s v="Online"/>
    <s v="North-David"/>
    <n v="2826.7800000000025"/>
  </r>
  <r>
    <n v="1062"/>
    <d v="2023-03-16T00:00:00"/>
    <s v="David"/>
    <s v="West"/>
    <n v="4195.0600000000004"/>
    <n v="45"/>
    <x v="0"/>
    <n v="4849.6000000000004"/>
    <n v="5166.72"/>
    <s v="Returning"/>
    <n v="0.25"/>
    <s v="Credit Card"/>
    <s v="Online"/>
    <s v="West-David"/>
    <n v="14270.399999999994"/>
  </r>
  <r>
    <n v="1051"/>
    <d v="2023-01-04T00:00:00"/>
    <s v="Eve"/>
    <s v="North"/>
    <n v="4979.3599999999997"/>
    <n v="14"/>
    <x v="3"/>
    <n v="3686.81"/>
    <n v="3710.92"/>
    <s v="New"/>
    <n v="0.1"/>
    <s v="Bank Transfer"/>
    <s v="Retail"/>
    <s v="North-Eve"/>
    <n v="337.54000000000178"/>
  </r>
  <r>
    <n v="1055"/>
    <d v="2023-12-01T00:00:00"/>
    <s v="Charlie"/>
    <s v="West"/>
    <n v="4102.47"/>
    <n v="8"/>
    <x v="0"/>
    <n v="3513"/>
    <n v="3838.42"/>
    <s v="Returning"/>
    <n v="0.13"/>
    <s v="Bank Transfer"/>
    <s v="Online"/>
    <s v="West-Charlie"/>
    <n v="2603.3600000000006"/>
  </r>
  <r>
    <n v="1064"/>
    <d v="2023-05-14T00:00:00"/>
    <s v="Bob"/>
    <s v="South"/>
    <n v="5356.28"/>
    <n v="8"/>
    <x v="3"/>
    <n v="4271.99"/>
    <n v="4417.79"/>
    <s v="Returning"/>
    <n v="0.04"/>
    <s v="Cash"/>
    <s v="Online"/>
    <s v="South-Bob"/>
    <n v="1166.4000000000015"/>
  </r>
  <r>
    <n v="1003"/>
    <d v="2023-04-28T00:00:00"/>
    <s v="Charlie"/>
    <s v="South"/>
    <n v="5991.8"/>
    <n v="27"/>
    <x v="0"/>
    <n v="623.32000000000005"/>
    <n v="853.66"/>
    <s v="Returning"/>
    <n v="0.04"/>
    <s v="Cash"/>
    <s v="Online"/>
    <s v="South-Charlie"/>
    <n v="6219.1799999999976"/>
  </r>
  <r>
    <n v="1051"/>
    <d v="2023-04-04T00:00:00"/>
    <s v="Bob"/>
    <s v="East"/>
    <n v="198.25"/>
    <n v="12"/>
    <x v="3"/>
    <n v="3544.48"/>
    <n v="3723.66"/>
    <s v="Returning"/>
    <n v="0.19"/>
    <s v="Cash"/>
    <s v="Online"/>
    <s v="East-Bob"/>
    <n v="2150.159999999998"/>
  </r>
  <r>
    <n v="1007"/>
    <d v="2023-03-03T00:00:00"/>
    <s v="Eve"/>
    <s v="West"/>
    <n v="4694.54"/>
    <n v="1"/>
    <x v="1"/>
    <n v="2543.2600000000002"/>
    <n v="2637.91"/>
    <s v="Returning"/>
    <n v="0.2"/>
    <s v="Credit Card"/>
    <s v="Online"/>
    <s v="West-Eve"/>
    <n v="94.649999999999636"/>
  </r>
  <r>
    <n v="1021"/>
    <d v="2023-07-13T00:00:00"/>
    <s v="Bob"/>
    <s v="West"/>
    <n v="9638.64"/>
    <n v="43"/>
    <x v="0"/>
    <n v="4154.3"/>
    <n v="4469.07"/>
    <s v="Returning"/>
    <n v="0.23"/>
    <s v="Cash"/>
    <s v="Retail"/>
    <s v="West-Bob"/>
    <n v="13535.109999999979"/>
  </r>
  <r>
    <n v="1073"/>
    <d v="2023-12-01T00:00:00"/>
    <s v="David"/>
    <s v="West"/>
    <n v="5238.42"/>
    <n v="40"/>
    <x v="0"/>
    <n v="2565.3000000000002"/>
    <n v="3007.47"/>
    <s v="Returning"/>
    <n v="0.17"/>
    <s v="Credit Card"/>
    <s v="Retail"/>
    <s v="West-David"/>
    <n v="17686.799999999985"/>
  </r>
  <r>
    <n v="1039"/>
    <d v="2023-07-22T00:00:00"/>
    <s v="Alice"/>
    <s v="East"/>
    <n v="6807.67"/>
    <n v="42"/>
    <x v="2"/>
    <n v="3120.19"/>
    <n v="3600.14"/>
    <s v="Returning"/>
    <n v="0.19"/>
    <s v="Credit Card"/>
    <s v="Retail"/>
    <s v="East-Alice"/>
    <n v="20157.899999999994"/>
  </r>
  <r>
    <n v="1018"/>
    <d v="2023-01-26T00:00:00"/>
    <s v="Alice"/>
    <s v="East"/>
    <n v="3187.45"/>
    <n v="11"/>
    <x v="2"/>
    <n v="2414.8200000000002"/>
    <n v="2519.0700000000002"/>
    <s v="Returning"/>
    <n v="0"/>
    <s v="Cash"/>
    <s v="Online"/>
    <s v="East-Alice"/>
    <n v="1146.75"/>
  </r>
  <r>
    <n v="1004"/>
    <d v="2023-06-22T00:00:00"/>
    <s v="Eve"/>
    <s v="South"/>
    <n v="7762.51"/>
    <n v="39"/>
    <x v="3"/>
    <n v="2416.89"/>
    <n v="2778.4"/>
    <s v="Returning"/>
    <n v="0.05"/>
    <s v="Cash"/>
    <s v="Online"/>
    <s v="South-Eve"/>
    <n v="14098.890000000009"/>
  </r>
  <r>
    <n v="1089"/>
    <d v="2023-10-27T00:00:00"/>
    <s v="David"/>
    <s v="North"/>
    <n v="7751.92"/>
    <n v="43"/>
    <x v="0"/>
    <n v="3851.45"/>
    <n v="4186.9799999999996"/>
    <s v="Returning"/>
    <n v="0.3"/>
    <s v="Credit Card"/>
    <s v="Online"/>
    <s v="North-David"/>
    <n v="14427.78999999999"/>
  </r>
  <r>
    <n v="1060"/>
    <d v="2023-05-13T00:00:00"/>
    <s v="Charlie"/>
    <s v="West"/>
    <n v="5260.83"/>
    <n v="31"/>
    <x v="3"/>
    <n v="3161.4"/>
    <n v="3339.66"/>
    <s v="Returning"/>
    <n v="0.02"/>
    <s v="Bank Transfer"/>
    <s v="Online"/>
    <s v="West-Charlie"/>
    <n v="5526.0599999999922"/>
  </r>
  <r>
    <n v="1014"/>
    <d v="2023-11-22T00:00:00"/>
    <s v="David"/>
    <s v="West"/>
    <n v="9762.5400000000009"/>
    <n v="17"/>
    <x v="1"/>
    <n v="3184.65"/>
    <n v="3204.01"/>
    <s v="New"/>
    <n v="0.2"/>
    <s v="Bank Transfer"/>
    <s v="Online"/>
    <s v="West-David"/>
    <n v="329.12000000000216"/>
  </r>
  <r>
    <n v="1009"/>
    <d v="2023-04-28T00:00:00"/>
    <s v="Alice"/>
    <s v="North"/>
    <n v="1342.95"/>
    <n v="33"/>
    <x v="2"/>
    <n v="2278.9"/>
    <n v="2626.9"/>
    <s v="New"/>
    <n v="0.05"/>
    <s v="Credit Card"/>
    <s v="Online"/>
    <s v="North-Alice"/>
    <n v="11484"/>
  </r>
  <r>
    <n v="1090"/>
    <d v="2023-11-20T00:00:00"/>
    <s v="Alice"/>
    <s v="West"/>
    <n v="267.77999999999997"/>
    <n v="32"/>
    <x v="3"/>
    <n v="2678.99"/>
    <n v="3152.28"/>
    <s v="Returning"/>
    <n v="0.22"/>
    <s v="Cash"/>
    <s v="Retail"/>
    <s v="West-Alice"/>
    <n v="15145.280000000013"/>
  </r>
  <r>
    <n v="1053"/>
    <d v="2023-10-02T00:00:00"/>
    <s v="David"/>
    <s v="East"/>
    <n v="7724.57"/>
    <n v="29"/>
    <x v="3"/>
    <n v="3741.3"/>
    <n v="4061.04"/>
    <s v="Returning"/>
    <n v="0.21"/>
    <s v="Credit Card"/>
    <s v="Online"/>
    <s v="East-David"/>
    <n v="9272.4599999999937"/>
  </r>
  <r>
    <n v="1002"/>
    <d v="2023-07-31T00:00:00"/>
    <s v="David"/>
    <s v="East"/>
    <n v="8090.84"/>
    <n v="21"/>
    <x v="2"/>
    <n v="4138.41"/>
    <n v="4361.7"/>
    <s v="Returning"/>
    <n v="7.0000000000000007E-2"/>
    <s v="Credit Card"/>
    <s v="Retail"/>
    <s v="East-David"/>
    <n v="4689.0899999999992"/>
  </r>
  <r>
    <n v="1084"/>
    <d v="2023-08-13T00:00:00"/>
    <s v="Alice"/>
    <s v="West"/>
    <n v="1290.05"/>
    <n v="21"/>
    <x v="0"/>
    <n v="3497.98"/>
    <n v="3765.31"/>
    <s v="New"/>
    <n v="0.08"/>
    <s v="Cash"/>
    <s v="Online"/>
    <s v="West-Alice"/>
    <n v="5613.9299999999985"/>
  </r>
  <r>
    <n v="1092"/>
    <d v="2023-01-20T00:00:00"/>
    <s v="Charlie"/>
    <s v="East"/>
    <n v="2729.27"/>
    <n v="40"/>
    <x v="3"/>
    <n v="4624.16"/>
    <n v="4731.9799999999996"/>
    <s v="New"/>
    <n v="0.2"/>
    <s v="Bank Transfer"/>
    <s v="Retail"/>
    <s v="East-Charlie"/>
    <n v="4312.7999999999884"/>
  </r>
  <r>
    <n v="1060"/>
    <d v="2023-04-23T00:00:00"/>
    <s v="Eve"/>
    <s v="East"/>
    <n v="273.77"/>
    <n v="23"/>
    <x v="2"/>
    <n v="4110.6000000000004"/>
    <n v="4488.37"/>
    <s v="New"/>
    <n v="0.12"/>
    <s v="Credit Card"/>
    <s v="Online"/>
    <s v="East-Eve"/>
    <n v="8688.7099999999882"/>
  </r>
  <r>
    <n v="1071"/>
    <d v="2023-05-20T00:00:00"/>
    <s v="Eve"/>
    <s v="West"/>
    <n v="3003.76"/>
    <n v="6"/>
    <x v="0"/>
    <n v="2831.23"/>
    <n v="3206.98"/>
    <s v="Returning"/>
    <n v="0.06"/>
    <s v="Bank Transfer"/>
    <s v="Retail"/>
    <s v="West-Eve"/>
    <n v="2254.5"/>
  </r>
  <r>
    <n v="1044"/>
    <d v="2023-02-16T00:00:00"/>
    <s v="David"/>
    <s v="South"/>
    <n v="7754.1"/>
    <n v="22"/>
    <x v="1"/>
    <n v="3373.46"/>
    <n v="3454.76"/>
    <s v="Returning"/>
    <n v="0.22"/>
    <s v="Bank Transfer"/>
    <s v="Retail"/>
    <s v="South-David"/>
    <n v="1788.600000000004"/>
  </r>
  <r>
    <n v="1008"/>
    <d v="2023-01-01T00:00:00"/>
    <s v="Eve"/>
    <s v="North"/>
    <n v="5227.8100000000004"/>
    <n v="38"/>
    <x v="2"/>
    <n v="4635.2299999999996"/>
    <n v="5075.4399999999996"/>
    <s v="Returning"/>
    <n v="0.05"/>
    <s v="Cash"/>
    <s v="Online"/>
    <s v="North-Eve"/>
    <n v="16727.980000000003"/>
  </r>
  <r>
    <n v="1047"/>
    <d v="2023-03-31T00:00:00"/>
    <s v="Alice"/>
    <s v="East"/>
    <n v="3546.15"/>
    <n v="37"/>
    <x v="3"/>
    <n v="3114.88"/>
    <n v="3256.78"/>
    <s v="Returning"/>
    <n v="0.26"/>
    <s v="Credit Card"/>
    <s v="Online"/>
    <s v="East-Alice"/>
    <n v="5250.3000000000029"/>
  </r>
  <r>
    <n v="1035"/>
    <d v="2023-05-22T00:00:00"/>
    <s v="Alice"/>
    <s v="South"/>
    <n v="3780.22"/>
    <n v="45"/>
    <x v="1"/>
    <n v="4132.79"/>
    <n v="4624.1000000000004"/>
    <s v="New"/>
    <n v="0.15"/>
    <s v="Credit Card"/>
    <s v="Retail"/>
    <s v="South-Alice"/>
    <n v="22108.950000000019"/>
  </r>
  <r>
    <n v="1078"/>
    <d v="2023-11-16T00:00:00"/>
    <s v="David"/>
    <s v="East"/>
    <n v="113.4"/>
    <n v="8"/>
    <x v="0"/>
    <n v="3459.61"/>
    <n v="3657.23"/>
    <s v="Returning"/>
    <n v="0.03"/>
    <s v="Bank Transfer"/>
    <s v="Online"/>
    <s v="East-David"/>
    <n v="1580.9599999999991"/>
  </r>
  <r>
    <n v="1081"/>
    <d v="2023-02-07T00:00:00"/>
    <s v="David"/>
    <s v="East"/>
    <n v="3068.03"/>
    <n v="41"/>
    <x v="0"/>
    <n v="2782.08"/>
    <n v="2879.24"/>
    <s v="New"/>
    <n v="0.21"/>
    <s v="Bank Transfer"/>
    <s v="Online"/>
    <s v="East-David"/>
    <n v="3983.559999999994"/>
  </r>
  <r>
    <n v="1036"/>
    <d v="2023-10-20T00:00:00"/>
    <s v="David"/>
    <s v="North"/>
    <n v="6499.94"/>
    <n v="49"/>
    <x v="2"/>
    <n v="1247.0999999999999"/>
    <n v="1429.44"/>
    <s v="New"/>
    <n v="0.16"/>
    <s v="Cash"/>
    <s v="Online"/>
    <s v="North-David"/>
    <n v="8934.6600000000071"/>
  </r>
  <r>
    <n v="1050"/>
    <d v="2023-05-19T00:00:00"/>
    <s v="Charlie"/>
    <s v="East"/>
    <n v="9744.52"/>
    <n v="35"/>
    <x v="2"/>
    <n v="2158.69"/>
    <n v="2384.38"/>
    <s v="Returning"/>
    <n v="0.09"/>
    <s v="Bank Transfer"/>
    <s v="Retail"/>
    <s v="East-Charlie"/>
    <n v="7899.1500000000015"/>
  </r>
  <r>
    <n v="1004"/>
    <d v="2023-12-22T00:00:00"/>
    <s v="Eve"/>
    <s v="North"/>
    <n v="8485.9"/>
    <n v="11"/>
    <x v="2"/>
    <n v="4840.33"/>
    <n v="4884.29"/>
    <s v="New"/>
    <n v="0.13"/>
    <s v="Cash"/>
    <s v="Online"/>
    <s v="North-Eve"/>
    <n v="483.5600000000004"/>
  </r>
  <r>
    <n v="1002"/>
    <d v="2023-11-29T00:00:00"/>
    <s v="David"/>
    <s v="North"/>
    <n v="333.59"/>
    <n v="24"/>
    <x v="0"/>
    <n v="3305.94"/>
    <n v="3599.27"/>
    <s v="New"/>
    <n v="0.09"/>
    <s v="Credit Card"/>
    <s v="Retail"/>
    <s v="North-David"/>
    <n v="7039.9199999999983"/>
  </r>
  <r>
    <n v="1006"/>
    <d v="2023-09-16T00:00:00"/>
    <s v="Bob"/>
    <s v="North"/>
    <n v="8995.75"/>
    <n v="49"/>
    <x v="1"/>
    <n v="2843.76"/>
    <n v="3146.6"/>
    <s v="New"/>
    <n v="0.08"/>
    <s v="Cash"/>
    <s v="Retail"/>
    <s v="North-Bob"/>
    <n v="14839.159999999985"/>
  </r>
  <r>
    <n v="1054"/>
    <d v="2023-06-10T00:00:00"/>
    <s v="Bob"/>
    <s v="South"/>
    <n v="7853.66"/>
    <n v="21"/>
    <x v="0"/>
    <n v="4668.1400000000003"/>
    <n v="5040.22"/>
    <s v="New"/>
    <n v="0.05"/>
    <s v="Bank Transfer"/>
    <s v="Online"/>
    <s v="South-Bob"/>
    <n v="7813.6799999999985"/>
  </r>
  <r>
    <n v="1004"/>
    <d v="2023-06-27T00:00:00"/>
    <s v="Alice"/>
    <s v="West"/>
    <n v="7825.72"/>
    <n v="2"/>
    <x v="3"/>
    <n v="2953.23"/>
    <n v="2977.52"/>
    <s v="Returning"/>
    <n v="0.11"/>
    <s v="Credit Card"/>
    <s v="Retail"/>
    <s v="West-Alice"/>
    <n v="48.579999999999927"/>
  </r>
  <r>
    <n v="1054"/>
    <d v="2023-01-10T00:00:00"/>
    <s v="Eve"/>
    <s v="South"/>
    <n v="4634.16"/>
    <n v="40"/>
    <x v="0"/>
    <n v="2654.11"/>
    <n v="2929.32"/>
    <s v="Returning"/>
    <n v="0.08"/>
    <s v="Cash"/>
    <s v="Online"/>
    <s v="South-Eve"/>
    <n v="11008.400000000001"/>
  </r>
  <r>
    <n v="1093"/>
    <d v="2023-09-18T00:00:00"/>
    <s v="David"/>
    <s v="West"/>
    <n v="4040.25"/>
    <n v="19"/>
    <x v="3"/>
    <n v="3808.59"/>
    <n v="3844.51"/>
    <s v="New"/>
    <n v="0.21"/>
    <s v="Credit Card"/>
    <s v="Online"/>
    <s v="West-David"/>
    <n v="682.48000000000138"/>
  </r>
  <r>
    <n v="1063"/>
    <d v="2023-05-18T00:00:00"/>
    <s v="Bob"/>
    <s v="West"/>
    <n v="3098.87"/>
    <n v="39"/>
    <x v="1"/>
    <n v="3577.69"/>
    <n v="3931.25"/>
    <s v="Returning"/>
    <n v="0.21"/>
    <s v="Cash"/>
    <s v="Retail"/>
    <s v="West-Bob"/>
    <n v="13788.839999999998"/>
  </r>
  <r>
    <n v="1018"/>
    <d v="2023-06-21T00:00:00"/>
    <s v="Eve"/>
    <s v="North"/>
    <n v="750.38"/>
    <n v="28"/>
    <x v="2"/>
    <n v="1006.14"/>
    <n v="1043.45"/>
    <s v="New"/>
    <n v="0.15"/>
    <s v="Bank Transfer"/>
    <s v="Retail"/>
    <s v="North-Eve"/>
    <n v="1044.6800000000017"/>
  </r>
  <r>
    <n v="1090"/>
    <d v="2023-01-13T00:00:00"/>
    <s v="Alice"/>
    <s v="East"/>
    <n v="2359.5300000000002"/>
    <n v="17"/>
    <x v="2"/>
    <n v="2382.98"/>
    <n v="2839.73"/>
    <s v="Returning"/>
    <n v="0.23"/>
    <s v="Bank Transfer"/>
    <s v="Retail"/>
    <s v="East-Alice"/>
    <n v="7764.75"/>
  </r>
  <r>
    <n v="1044"/>
    <d v="2023-06-17T00:00:00"/>
    <s v="Charlie"/>
    <s v="North"/>
    <n v="2541.38"/>
    <n v="6"/>
    <x v="0"/>
    <n v="2388.9499999999998"/>
    <n v="2742.97"/>
    <s v="Returning"/>
    <n v="0.25"/>
    <s v="Credit Card"/>
    <s v="Retail"/>
    <s v="North-Charlie"/>
    <n v="2124.12"/>
  </r>
  <r>
    <n v="1034"/>
    <d v="2023-05-10T00:00:00"/>
    <s v="Eve"/>
    <s v="East"/>
    <n v="4892.3599999999997"/>
    <n v="19"/>
    <x v="2"/>
    <n v="1922.21"/>
    <n v="2180.83"/>
    <s v="Returning"/>
    <n v="0.17"/>
    <s v="Credit Card"/>
    <s v="Retail"/>
    <s v="East-Eve"/>
    <n v="4913.7799999999979"/>
  </r>
  <r>
    <n v="1074"/>
    <d v="2023-03-25T00:00:00"/>
    <s v="Eve"/>
    <s v="West"/>
    <n v="7499.7"/>
    <n v="38"/>
    <x v="1"/>
    <n v="2610.6"/>
    <n v="2836.94"/>
    <s v="Returning"/>
    <n v="0.19"/>
    <s v="Credit Card"/>
    <s v="Online"/>
    <s v="West-Eve"/>
    <n v="8600.9200000000055"/>
  </r>
  <r>
    <n v="1062"/>
    <d v="2023-11-17T00:00:00"/>
    <s v="Charlie"/>
    <s v="North"/>
    <n v="4790.72"/>
    <n v="28"/>
    <x v="2"/>
    <n v="2094.88"/>
    <n v="2168.91"/>
    <s v="Returning"/>
    <n v="0.08"/>
    <s v="Cash"/>
    <s v="Retail"/>
    <s v="North-Charlie"/>
    <n v="2072.8399999999929"/>
  </r>
  <r>
    <n v="1100"/>
    <d v="2023-11-15T00:00:00"/>
    <s v="Eve"/>
    <s v="East"/>
    <n v="672.66"/>
    <n v="2"/>
    <x v="0"/>
    <n v="1036.76"/>
    <n v="1189.3499999999999"/>
    <s v="New"/>
    <n v="0.27"/>
    <s v="Bank Transfer"/>
    <s v="Online"/>
    <s v="East-Eve"/>
    <n v="305.17999999999984"/>
  </r>
  <r>
    <n v="1014"/>
    <d v="2023-04-11T00:00:00"/>
    <s v="Alice"/>
    <s v="South"/>
    <n v="9582.1200000000008"/>
    <n v="38"/>
    <x v="1"/>
    <n v="2091.21"/>
    <n v="2527"/>
    <s v="Returning"/>
    <n v="0.01"/>
    <s v="Credit Card"/>
    <s v="Online"/>
    <s v="South-Alice"/>
    <n v="16560.019999999997"/>
  </r>
  <r>
    <n v="1095"/>
    <d v="2023-11-25T00:00:00"/>
    <s v="Alice"/>
    <s v="East"/>
    <n v="9432.9699999999993"/>
    <n v="37"/>
    <x v="3"/>
    <n v="407.77"/>
    <n v="860.95"/>
    <s v="New"/>
    <n v="0.1"/>
    <s v="Credit Card"/>
    <s v="Retail"/>
    <s v="East-Alice"/>
    <n v="16767.660000000003"/>
  </r>
  <r>
    <n v="1048"/>
    <d v="2023-09-30T00:00:00"/>
    <s v="Charlie"/>
    <s v="North"/>
    <n v="7873.38"/>
    <n v="4"/>
    <x v="0"/>
    <n v="2900.14"/>
    <n v="2910.51"/>
    <s v="New"/>
    <n v="0.22"/>
    <s v="Credit Card"/>
    <s v="Retail"/>
    <s v="North-Charlie"/>
    <n v="41.480000000001382"/>
  </r>
  <r>
    <n v="1015"/>
    <d v="2023-09-22T00:00:00"/>
    <s v="David"/>
    <s v="South"/>
    <n v="9914.15"/>
    <n v="22"/>
    <x v="3"/>
    <n v="4275.59"/>
    <n v="4576.72"/>
    <s v="Returning"/>
    <n v="0.02"/>
    <s v="Cash"/>
    <s v="Retail"/>
    <s v="South-David"/>
    <n v="6624.8600000000024"/>
  </r>
  <r>
    <n v="1072"/>
    <d v="2023-02-07T00:00:00"/>
    <s v="Bob"/>
    <s v="East"/>
    <n v="5490.38"/>
    <n v="26"/>
    <x v="1"/>
    <n v="3640.17"/>
    <n v="4002.63"/>
    <s v="New"/>
    <n v="0.05"/>
    <s v="Credit Card"/>
    <s v="Retail"/>
    <s v="East-Bob"/>
    <n v="9423.9600000000009"/>
  </r>
  <r>
    <n v="1078"/>
    <d v="2023-04-04T00:00:00"/>
    <s v="David"/>
    <s v="East"/>
    <n v="9631.41"/>
    <n v="49"/>
    <x v="0"/>
    <n v="1833.95"/>
    <n v="2147.14"/>
    <s v="Returning"/>
    <n v="0.18"/>
    <s v="Credit Card"/>
    <s v="Retail"/>
    <s v="East-David"/>
    <n v="15346.309999999992"/>
  </r>
  <r>
    <n v="1087"/>
    <d v="2023-04-05T00:00:00"/>
    <s v="Eve"/>
    <s v="East"/>
    <n v="848.49"/>
    <n v="43"/>
    <x v="0"/>
    <n v="481"/>
    <n v="531.02"/>
    <s v="New"/>
    <n v="0.17"/>
    <s v="Cash"/>
    <s v="Online"/>
    <s v="East-Eve"/>
    <n v="2150.8599999999992"/>
  </r>
  <r>
    <n v="1062"/>
    <d v="2023-11-01T00:00:00"/>
    <s v="Bob"/>
    <s v="East"/>
    <n v="3720.24"/>
    <n v="36"/>
    <x v="1"/>
    <n v="1050.6400000000001"/>
    <n v="1167.33"/>
    <s v="New"/>
    <n v="0.22"/>
    <s v="Cash"/>
    <s v="Online"/>
    <s v="East-Bob"/>
    <n v="4200.8399999999938"/>
  </r>
  <r>
    <n v="1040"/>
    <d v="2023-03-10T00:00:00"/>
    <s v="Charlie"/>
    <s v="East"/>
    <n v="2331.27"/>
    <n v="13"/>
    <x v="2"/>
    <n v="2750.18"/>
    <n v="2882.85"/>
    <s v="Returning"/>
    <n v="0.24"/>
    <s v="Credit Card"/>
    <s v="Online"/>
    <s v="East-Charlie"/>
    <n v="1724.7100000000009"/>
  </r>
  <r>
    <n v="1085"/>
    <d v="2023-11-14T00:00:00"/>
    <s v="Charlie"/>
    <s v="South"/>
    <n v="2038.75"/>
    <n v="32"/>
    <x v="0"/>
    <n v="1074.93"/>
    <n v="1492.48"/>
    <s v="Returning"/>
    <n v="0.04"/>
    <s v="Credit Card"/>
    <s v="Retail"/>
    <s v="South-Charlie"/>
    <n v="13361.599999999999"/>
  </r>
  <r>
    <n v="1080"/>
    <d v="2023-08-24T00:00:00"/>
    <s v="Bob"/>
    <s v="West"/>
    <n v="1493.95"/>
    <n v="17"/>
    <x v="0"/>
    <n v="2742.67"/>
    <n v="2979.64"/>
    <s v="Returning"/>
    <n v="0.01"/>
    <s v="Cash"/>
    <s v="Retail"/>
    <s v="West-Bob"/>
    <n v="4028.4899999999966"/>
  </r>
  <r>
    <n v="1082"/>
    <d v="2023-11-30T00:00:00"/>
    <s v="Alice"/>
    <s v="South"/>
    <n v="6261.9"/>
    <n v="41"/>
    <x v="3"/>
    <n v="1196.42"/>
    <n v="1444.97"/>
    <s v="Returning"/>
    <n v="0.21"/>
    <s v="Bank Transfer"/>
    <s v="Online"/>
    <s v="South-Alice"/>
    <n v="10190.549999999997"/>
  </r>
  <r>
    <n v="1053"/>
    <d v="2023-05-17T00:00:00"/>
    <s v="Bob"/>
    <s v="South"/>
    <n v="7835.09"/>
    <n v="36"/>
    <x v="2"/>
    <n v="4252.17"/>
    <n v="4720.2700000000004"/>
    <s v="New"/>
    <n v="0.09"/>
    <s v="Cash"/>
    <s v="Retail"/>
    <s v="South-Bob"/>
    <n v="16851.600000000013"/>
  </r>
  <r>
    <n v="1024"/>
    <d v="2023-03-17T00:00:00"/>
    <s v="Eve"/>
    <s v="South"/>
    <n v="5825.15"/>
    <n v="46"/>
    <x v="3"/>
    <n v="2016.49"/>
    <n v="2338.66"/>
    <s v="Returning"/>
    <n v="0.19"/>
    <s v="Bank Transfer"/>
    <s v="Retail"/>
    <s v="South-Eve"/>
    <n v="14819.819999999992"/>
  </r>
  <r>
    <n v="1026"/>
    <d v="2023-02-04T00:00:00"/>
    <s v="Alice"/>
    <s v="West"/>
    <n v="1554.93"/>
    <n v="19"/>
    <x v="3"/>
    <n v="1265.48"/>
    <n v="1715.83"/>
    <s v="New"/>
    <n v="0.05"/>
    <s v="Credit Card"/>
    <s v="Retail"/>
    <s v="West-Alice"/>
    <n v="8556.6499999999978"/>
  </r>
  <r>
    <n v="1089"/>
    <d v="2023-01-01T00:00:00"/>
    <s v="Charlie"/>
    <s v="North"/>
    <n v="8130.13"/>
    <n v="35"/>
    <x v="2"/>
    <n v="4071.01"/>
    <n v="4304.7"/>
    <s v="New"/>
    <n v="0.14000000000000001"/>
    <s v="Credit Card"/>
    <s v="Online"/>
    <s v="North-Charlie"/>
    <n v="8179.149999999986"/>
  </r>
  <r>
    <n v="1060"/>
    <d v="2023-10-23T00:00:00"/>
    <s v="Bob"/>
    <s v="West"/>
    <n v="6395.95"/>
    <n v="46"/>
    <x v="2"/>
    <n v="1747.05"/>
    <n v="1830.27"/>
    <s v="New"/>
    <n v="0.15"/>
    <s v="Bank Transfer"/>
    <s v="Retail"/>
    <s v="West-Bob"/>
    <n v="3828.1200000000013"/>
  </r>
  <r>
    <n v="1041"/>
    <d v="2023-11-16T00:00:00"/>
    <s v="David"/>
    <s v="South"/>
    <n v="3942.84"/>
    <n v="40"/>
    <x v="1"/>
    <n v="601.86"/>
    <n v="1067.53"/>
    <s v="New"/>
    <n v="0.18"/>
    <s v="Cash"/>
    <s v="Online"/>
    <s v="South-David"/>
    <n v="18626.8"/>
  </r>
  <r>
    <n v="1029"/>
    <d v="2023-03-01T00:00:00"/>
    <s v="David"/>
    <s v="East"/>
    <n v="6773.89"/>
    <n v="28"/>
    <x v="2"/>
    <n v="2873.53"/>
    <n v="3108.3"/>
    <s v="New"/>
    <n v="0.15"/>
    <s v="Credit Card"/>
    <s v="Retail"/>
    <s v="East-David"/>
    <n v="6573.5599999999995"/>
  </r>
  <r>
    <n v="1015"/>
    <d v="2023-11-16T00:00:00"/>
    <s v="Eve"/>
    <s v="East"/>
    <n v="2673.06"/>
    <n v="1"/>
    <x v="0"/>
    <n v="2928.74"/>
    <n v="3027.74"/>
    <s v="New"/>
    <n v="0.15"/>
    <s v="Bank Transfer"/>
    <s v="Retail"/>
    <s v="East-Eve"/>
    <n v="99"/>
  </r>
  <r>
    <n v="1045"/>
    <d v="2023-12-15T00:00:00"/>
    <s v="David"/>
    <s v="South"/>
    <n v="3517.4"/>
    <n v="42"/>
    <x v="2"/>
    <n v="3587.74"/>
    <n v="3745.91"/>
    <s v="Returning"/>
    <n v="0.1"/>
    <s v="Cash"/>
    <s v="Online"/>
    <s v="South-David"/>
    <n v="6643.1400000000031"/>
  </r>
  <r>
    <n v="1065"/>
    <d v="2023-11-24T00:00:00"/>
    <s v="Bob"/>
    <s v="East"/>
    <n v="9183.11"/>
    <n v="18"/>
    <x v="1"/>
    <n v="1239.0899999999999"/>
    <n v="1273.98"/>
    <s v="New"/>
    <n v="0.02"/>
    <s v="Bank Transfer"/>
    <s v="Retail"/>
    <s v="East-Bob"/>
    <n v="628.0200000000018"/>
  </r>
  <r>
    <n v="1089"/>
    <d v="2023-09-24T00:00:00"/>
    <s v="Bob"/>
    <s v="South"/>
    <n v="2975.99"/>
    <n v="48"/>
    <x v="1"/>
    <n v="2246.67"/>
    <n v="2486.14"/>
    <s v="New"/>
    <n v="0.03"/>
    <s v="Cash"/>
    <s v="Retail"/>
    <s v="South-Bob"/>
    <n v="11494.55999999999"/>
  </r>
  <r>
    <n v="1071"/>
    <d v="2023-12-27T00:00:00"/>
    <s v="David"/>
    <s v="East"/>
    <n v="4752.88"/>
    <n v="40"/>
    <x v="1"/>
    <n v="1447.72"/>
    <n v="1875.75"/>
    <s v="New"/>
    <n v="0.13"/>
    <s v="Cash"/>
    <s v="Retail"/>
    <s v="East-David"/>
    <n v="17121.199999999997"/>
  </r>
  <r>
    <n v="1009"/>
    <d v="2023-08-17T00:00:00"/>
    <s v="Bob"/>
    <s v="West"/>
    <n v="8912.4"/>
    <n v="33"/>
    <x v="2"/>
    <n v="450.72"/>
    <n v="918.17"/>
    <s v="Returning"/>
    <n v="0.11"/>
    <s v="Cash"/>
    <s v="Online"/>
    <s v="West-Bob"/>
    <n v="15425.849999999999"/>
  </r>
  <r>
    <n v="1088"/>
    <d v="2023-09-27T00:00:00"/>
    <s v="Eve"/>
    <s v="North"/>
    <n v="7106.44"/>
    <n v="12"/>
    <x v="2"/>
    <n v="4389.24"/>
    <n v="4856.22"/>
    <s v="Returning"/>
    <n v="0.15"/>
    <s v="Cash"/>
    <s v="Retail"/>
    <s v="North-Eve"/>
    <n v="5603.7600000000057"/>
  </r>
  <r>
    <n v="1001"/>
    <d v="2023-11-12T00:00:00"/>
    <s v="Alice"/>
    <s v="North"/>
    <n v="715.81"/>
    <n v="8"/>
    <x v="3"/>
    <n v="3657.91"/>
    <n v="3729.27"/>
    <s v="New"/>
    <n v="0.09"/>
    <s v="Bank Transfer"/>
    <s v="Retail"/>
    <s v="North-Alice"/>
    <n v="570.88000000000102"/>
  </r>
  <r>
    <n v="1008"/>
    <d v="2023-10-13T00:00:00"/>
    <s v="Eve"/>
    <s v="West"/>
    <n v="1558.3"/>
    <n v="24"/>
    <x v="3"/>
    <n v="1542.24"/>
    <n v="1739.45"/>
    <s v="Returning"/>
    <n v="0.21"/>
    <s v="Bank Transfer"/>
    <s v="Retail"/>
    <s v="West-Eve"/>
    <n v="4733.0400000000009"/>
  </r>
  <r>
    <n v="1088"/>
    <d v="2023-10-18T00:00:00"/>
    <s v="Eve"/>
    <s v="West"/>
    <n v="177.63"/>
    <n v="16"/>
    <x v="0"/>
    <n v="3016.9"/>
    <n v="3040.73"/>
    <s v="New"/>
    <n v="0.26"/>
    <s v="Bank Transfer"/>
    <s v="Retail"/>
    <s v="West-Eve"/>
    <n v="381.27999999999884"/>
  </r>
  <r>
    <n v="1063"/>
    <d v="2023-08-01T00:00:00"/>
    <s v="Bob"/>
    <s v="South"/>
    <n v="6346.13"/>
    <n v="4"/>
    <x v="3"/>
    <n v="1046.26"/>
    <n v="1475.29"/>
    <s v="Returning"/>
    <n v="0.09"/>
    <s v="Bank Transfer"/>
    <s v="Retail"/>
    <s v="South-Bob"/>
    <n v="1716.12"/>
  </r>
  <r>
    <n v="1011"/>
    <d v="2023-06-14T00:00:00"/>
    <s v="Alice"/>
    <s v="South"/>
    <n v="4531.97"/>
    <n v="38"/>
    <x v="0"/>
    <n v="4456.67"/>
    <n v="4642.46"/>
    <s v="New"/>
    <n v="0.06"/>
    <s v="Bank Transfer"/>
    <s v="Online"/>
    <s v="South-Alice"/>
    <n v="7060.0199999999986"/>
  </r>
  <r>
    <n v="1081"/>
    <d v="2023-01-05T00:00:00"/>
    <s v="Bob"/>
    <s v="South"/>
    <n v="1429.32"/>
    <n v="44"/>
    <x v="1"/>
    <n v="618.79"/>
    <n v="938.04"/>
    <s v="Returning"/>
    <n v="0.03"/>
    <s v="Cash"/>
    <s v="Online"/>
    <s v="South-Bob"/>
    <n v="14047"/>
  </r>
  <r>
    <n v="1008"/>
    <d v="2023-12-05T00:00:00"/>
    <s v="Charlie"/>
    <s v="East"/>
    <n v="9583.5499999999993"/>
    <n v="27"/>
    <x v="3"/>
    <n v="68.989999999999995"/>
    <n v="429.29"/>
    <s v="Returning"/>
    <n v="0.18"/>
    <s v="Credit Card"/>
    <s v="Retail"/>
    <s v="East-Charlie"/>
    <n v="9728.1"/>
  </r>
  <r>
    <n v="1035"/>
    <d v="2023-03-19T00:00:00"/>
    <s v="Bob"/>
    <s v="South"/>
    <n v="5343.63"/>
    <n v="9"/>
    <x v="2"/>
    <n v="2534.94"/>
    <n v="2755.56"/>
    <s v="Returning"/>
    <n v="0.13"/>
    <s v="Credit Card"/>
    <s v="Retail"/>
    <s v="South-Bob"/>
    <n v="1985.579999999999"/>
  </r>
  <r>
    <n v="1035"/>
    <d v="2023-03-03T00:00:00"/>
    <s v="Bob"/>
    <s v="West"/>
    <n v="2494.7399999999998"/>
    <n v="47"/>
    <x v="3"/>
    <n v="2936.48"/>
    <n v="3096.64"/>
    <s v="New"/>
    <n v="0.06"/>
    <s v="Bank Transfer"/>
    <s v="Online"/>
    <s v="West-Bob"/>
    <n v="7527.5199999999932"/>
  </r>
  <r>
    <n v="1033"/>
    <d v="2023-05-12T00:00:00"/>
    <s v="Bob"/>
    <s v="North"/>
    <n v="5055.9799999999996"/>
    <n v="16"/>
    <x v="0"/>
    <n v="2915.88"/>
    <n v="3397.36"/>
    <s v="New"/>
    <n v="0.2"/>
    <s v="Bank Transfer"/>
    <s v="Retail"/>
    <s v="North-Bob"/>
    <n v="7703.68"/>
  </r>
  <r>
    <n v="1005"/>
    <d v="2023-03-30T00:00:00"/>
    <s v="Alice"/>
    <s v="East"/>
    <n v="6828.24"/>
    <n v="12"/>
    <x v="3"/>
    <n v="319.83"/>
    <n v="802.43"/>
    <s v="New"/>
    <n v="0.04"/>
    <s v="Credit Card"/>
    <s v="Retail"/>
    <s v="East-Alice"/>
    <n v="5791.2"/>
  </r>
  <r>
    <n v="1041"/>
    <d v="2023-08-25T00:00:00"/>
    <s v="Bob"/>
    <s v="South"/>
    <n v="854.77"/>
    <n v="31"/>
    <x v="1"/>
    <n v="1604.52"/>
    <n v="1756.34"/>
    <s v="Returning"/>
    <n v="0.17"/>
    <s v="Cash"/>
    <s v="Retail"/>
    <s v="South-Bob"/>
    <n v="4706.4199999999983"/>
  </r>
  <r>
    <n v="1028"/>
    <d v="2023-02-11T00:00:00"/>
    <s v="Alice"/>
    <s v="East"/>
    <n v="2819.57"/>
    <n v="24"/>
    <x v="2"/>
    <n v="2521.0300000000002"/>
    <n v="2766.05"/>
    <s v="Returning"/>
    <n v="0.16"/>
    <s v="Bank Transfer"/>
    <s v="Retail"/>
    <s v="East-Alice"/>
    <n v="5880.48"/>
  </r>
  <r>
    <n v="1007"/>
    <d v="2023-03-30T00:00:00"/>
    <s v="David"/>
    <s v="East"/>
    <n v="8088.96"/>
    <n v="14"/>
    <x v="0"/>
    <n v="1122.07"/>
    <n v="1608.76"/>
    <s v="New"/>
    <n v="0.22"/>
    <s v="Cash"/>
    <s v="Retail"/>
    <s v="East-David"/>
    <n v="6813.6600000000008"/>
  </r>
  <r>
    <n v="1073"/>
    <d v="2023-10-23T00:00:00"/>
    <s v="Charlie"/>
    <s v="South"/>
    <n v="4650.68"/>
    <n v="45"/>
    <x v="2"/>
    <n v="4369.5"/>
    <n v="4381.8900000000003"/>
    <s v="Returning"/>
    <n v="0.02"/>
    <s v="Credit Card"/>
    <s v="Retail"/>
    <s v="South-Charlie"/>
    <n v="557.55000000001473"/>
  </r>
  <r>
    <n v="1072"/>
    <d v="2023-11-24T00:00:00"/>
    <s v="Alice"/>
    <s v="East"/>
    <n v="5511.11"/>
    <n v="25"/>
    <x v="2"/>
    <n v="481.19"/>
    <n v="693.4"/>
    <s v="New"/>
    <n v="0.27"/>
    <s v="Credit Card"/>
    <s v="Retail"/>
    <s v="East-Alice"/>
    <n v="5305.2499999999991"/>
  </r>
  <r>
    <n v="1012"/>
    <d v="2023-10-22T00:00:00"/>
    <s v="David"/>
    <s v="North"/>
    <n v="4384.88"/>
    <n v="34"/>
    <x v="0"/>
    <n v="2462.5500000000002"/>
    <n v="2521.77"/>
    <s v="New"/>
    <n v="0.21"/>
    <s v="Bank Transfer"/>
    <s v="Retail"/>
    <s v="North-David"/>
    <n v="2013.4799999999932"/>
  </r>
  <r>
    <n v="1034"/>
    <d v="2023-04-14T00:00:00"/>
    <s v="Alice"/>
    <s v="West"/>
    <n v="534.61"/>
    <n v="3"/>
    <x v="2"/>
    <n v="3472.51"/>
    <n v="3732"/>
    <s v="New"/>
    <n v="0.06"/>
    <s v="Cash"/>
    <s v="Online"/>
    <s v="West-Alice"/>
    <n v="778.46999999999935"/>
  </r>
  <r>
    <n v="1033"/>
    <d v="2023-01-14T00:00:00"/>
    <s v="Alice"/>
    <s v="West"/>
    <n v="1740.92"/>
    <n v="24"/>
    <x v="2"/>
    <n v="1345.67"/>
    <n v="1367.76"/>
    <s v="New"/>
    <n v="0.06"/>
    <s v="Bank Transfer"/>
    <s v="Online"/>
    <s v="West-Alice"/>
    <n v="530.15999999999804"/>
  </r>
  <r>
    <n v="1048"/>
    <d v="2023-10-15T00:00:00"/>
    <s v="Charlie"/>
    <s v="North"/>
    <n v="4510.8599999999997"/>
    <n v="42"/>
    <x v="3"/>
    <n v="3139.99"/>
    <n v="3349.37"/>
    <s v="Returning"/>
    <n v="0.13"/>
    <s v="Credit Card"/>
    <s v="Retail"/>
    <s v="North-Charlie"/>
    <n v="8793.9600000000046"/>
  </r>
  <r>
    <n v="1023"/>
    <d v="2023-06-28T00:00:00"/>
    <s v="Eve"/>
    <s v="East"/>
    <n v="2170.94"/>
    <n v="9"/>
    <x v="2"/>
    <n v="4155.46"/>
    <n v="4273.6000000000004"/>
    <s v="Returning"/>
    <n v="0.25"/>
    <s v="Cash"/>
    <s v="Retail"/>
    <s v="East-Eve"/>
    <n v="1063.2600000000029"/>
  </r>
  <r>
    <n v="1062"/>
    <d v="2023-05-05T00:00:00"/>
    <s v="Eve"/>
    <s v="South"/>
    <n v="594.79"/>
    <n v="26"/>
    <x v="2"/>
    <n v="992.17"/>
    <n v="1263.49"/>
    <s v="Returning"/>
    <n v="0.25"/>
    <s v="Bank Transfer"/>
    <s v="Retail"/>
    <s v="South-Eve"/>
    <n v="7054.3200000000015"/>
  </r>
  <r>
    <n v="1088"/>
    <d v="2023-12-19T00:00:00"/>
    <s v="Alice"/>
    <s v="East"/>
    <n v="8452.1299999999992"/>
    <n v="20"/>
    <x v="2"/>
    <n v="4590.24"/>
    <n v="5088.28"/>
    <s v="New"/>
    <n v="0.16"/>
    <s v="Bank Transfer"/>
    <s v="Retail"/>
    <s v="East-Alice"/>
    <n v="9960.7999999999993"/>
  </r>
  <r>
    <n v="1037"/>
    <d v="2023-01-23T00:00:00"/>
    <s v="Bob"/>
    <s v="North"/>
    <n v="9813.81"/>
    <n v="40"/>
    <x v="2"/>
    <n v="2790.11"/>
    <n v="3192.37"/>
    <s v="Returning"/>
    <n v="0.26"/>
    <s v="Bank Transfer"/>
    <s v="Online"/>
    <s v="North-Bob"/>
    <n v="16090.399999999991"/>
  </r>
  <r>
    <n v="1099"/>
    <d v="2023-03-04T00:00:00"/>
    <s v="David"/>
    <s v="East"/>
    <n v="7952.11"/>
    <n v="10"/>
    <x v="0"/>
    <n v="1531.2"/>
    <n v="1955.56"/>
    <s v="New"/>
    <n v="0"/>
    <s v="Credit Card"/>
    <s v="Online"/>
    <s v="East-David"/>
    <n v="4243.5999999999985"/>
  </r>
  <r>
    <n v="1044"/>
    <d v="2023-05-23T00:00:00"/>
    <s v="Bob"/>
    <s v="West"/>
    <n v="8552.4699999999993"/>
    <n v="19"/>
    <x v="1"/>
    <n v="2182.75"/>
    <n v="2504.0300000000002"/>
    <s v="New"/>
    <n v="0.01"/>
    <s v="Bank Transfer"/>
    <s v="Online"/>
    <s v="West-Bob"/>
    <n v="6104.3200000000033"/>
  </r>
  <r>
    <n v="1086"/>
    <d v="2023-06-02T00:00:00"/>
    <s v="Bob"/>
    <s v="East"/>
    <n v="2495.5700000000002"/>
    <n v="3"/>
    <x v="3"/>
    <n v="1595.35"/>
    <n v="1625.71"/>
    <s v="New"/>
    <n v="0.27"/>
    <s v="Cash"/>
    <s v="Online"/>
    <s v="East-Bob"/>
    <n v="91.080000000000382"/>
  </r>
  <r>
    <n v="1091"/>
    <d v="2023-05-25T00:00:00"/>
    <s v="Alice"/>
    <s v="North"/>
    <n v="9610.2099999999991"/>
    <n v="24"/>
    <x v="2"/>
    <n v="3639.3"/>
    <n v="3750.63"/>
    <s v="New"/>
    <n v="0.23"/>
    <s v="Bank Transfer"/>
    <s v="Retail"/>
    <s v="North-Alice"/>
    <n v="2671.9199999999983"/>
  </r>
  <r>
    <n v="1035"/>
    <d v="2023-08-13T00:00:00"/>
    <s v="Alice"/>
    <s v="West"/>
    <n v="2049.56"/>
    <n v="5"/>
    <x v="2"/>
    <n v="3991.69"/>
    <n v="4454.97"/>
    <s v="New"/>
    <n v="0.14000000000000001"/>
    <s v="Credit Card"/>
    <s v="Retail"/>
    <s v="West-Alice"/>
    <n v="2316.400000000001"/>
  </r>
  <r>
    <n v="1065"/>
    <d v="2023-11-05T00:00:00"/>
    <s v="Alice"/>
    <s v="East"/>
    <n v="9519.16"/>
    <n v="3"/>
    <x v="0"/>
    <n v="4173.04"/>
    <n v="4362.4399999999996"/>
    <s v="New"/>
    <n v="0.23"/>
    <s v="Bank Transfer"/>
    <s v="Retail"/>
    <s v="East-Alice"/>
    <n v="568.19999999999891"/>
  </r>
  <r>
    <n v="1099"/>
    <d v="2023-04-14T00:00:00"/>
    <s v="Alice"/>
    <s v="East"/>
    <n v="9948.7099999999991"/>
    <n v="27"/>
    <x v="1"/>
    <n v="4929.55"/>
    <n v="4990.33"/>
    <s v="Returning"/>
    <n v="0.28999999999999998"/>
    <s v="Credit Card"/>
    <s v="Online"/>
    <s v="East-Alice"/>
    <n v="1641.0599999999931"/>
  </r>
  <r>
    <n v="1047"/>
    <d v="2023-04-14T00:00:00"/>
    <s v="Eve"/>
    <s v="West"/>
    <n v="7146.06"/>
    <n v="16"/>
    <x v="2"/>
    <n v="3966.86"/>
    <n v="4321.04"/>
    <s v="Returning"/>
    <n v="0.23"/>
    <s v="Credit Card"/>
    <s v="Retail"/>
    <s v="West-Eve"/>
    <n v="5666.8799999999974"/>
  </r>
  <r>
    <n v="1078"/>
    <d v="2023-02-08T00:00:00"/>
    <s v="Alice"/>
    <s v="South"/>
    <n v="9813.32"/>
    <n v="49"/>
    <x v="0"/>
    <n v="3026.85"/>
    <n v="3183.58"/>
    <s v="Returning"/>
    <n v="0.25"/>
    <s v="Cash"/>
    <s v="Retail"/>
    <s v="South-Alice"/>
    <n v="7679.77"/>
  </r>
  <r>
    <n v="1003"/>
    <d v="2023-07-17T00:00:00"/>
    <s v="Eve"/>
    <s v="West"/>
    <n v="5738.44"/>
    <n v="15"/>
    <x v="3"/>
    <n v="1729.14"/>
    <n v="1870.88"/>
    <s v="Returning"/>
    <n v="0.23"/>
    <s v="Cash"/>
    <s v="Online"/>
    <s v="West-Eve"/>
    <n v="2126.1000000000004"/>
  </r>
  <r>
    <n v="1001"/>
    <d v="2023-05-14T00:00:00"/>
    <s v="Eve"/>
    <s v="South"/>
    <n v="2669.46"/>
    <n v="35"/>
    <x v="3"/>
    <n v="2745.75"/>
    <n v="3244.76"/>
    <s v="New"/>
    <n v="0.05"/>
    <s v="Bank Transfer"/>
    <s v="Online"/>
    <s v="South-Eve"/>
    <n v="17465.350000000006"/>
  </r>
  <r>
    <n v="1005"/>
    <d v="2023-03-08T00:00:00"/>
    <s v="Alice"/>
    <s v="North"/>
    <n v="4426.26"/>
    <n v="12"/>
    <x v="2"/>
    <n v="253.29"/>
    <n v="683.78"/>
    <s v="New"/>
    <n v="0.25"/>
    <s v="Credit Card"/>
    <s v="Online"/>
    <s v="North-Alice"/>
    <n v="5165.88"/>
  </r>
  <r>
    <n v="1090"/>
    <d v="2023-06-28T00:00:00"/>
    <s v="Charlie"/>
    <s v="North"/>
    <n v="5976.25"/>
    <n v="41"/>
    <x v="2"/>
    <n v="3736.88"/>
    <n v="3946.77"/>
    <s v="Returning"/>
    <n v="0.06"/>
    <s v="Credit Card"/>
    <s v="Online"/>
    <s v="North-Charlie"/>
    <n v="8605.4899999999943"/>
  </r>
  <r>
    <n v="1014"/>
    <d v="2023-02-11T00:00:00"/>
    <s v="David"/>
    <s v="West"/>
    <n v="823.51"/>
    <n v="44"/>
    <x v="1"/>
    <n v="2257.48"/>
    <n v="2747.81"/>
    <s v="Returning"/>
    <n v="0.27"/>
    <s v="Cash"/>
    <s v="Online"/>
    <s v="West-David"/>
    <n v="21574.519999999997"/>
  </r>
  <r>
    <n v="1027"/>
    <d v="2023-01-15T00:00:00"/>
    <s v="Bob"/>
    <s v="West"/>
    <n v="6261.2"/>
    <n v="26"/>
    <x v="1"/>
    <n v="149.11000000000001"/>
    <n v="477.67"/>
    <s v="Returning"/>
    <n v="0.14000000000000001"/>
    <s v="Cash"/>
    <s v="Retail"/>
    <s v="West-Bob"/>
    <n v="8542.56"/>
  </r>
  <r>
    <n v="1009"/>
    <d v="2023-04-21T00:00:00"/>
    <s v="Eve"/>
    <s v="North"/>
    <n v="9813.66"/>
    <n v="47"/>
    <x v="2"/>
    <n v="359.41"/>
    <n v="733"/>
    <s v="Returning"/>
    <n v="0.2"/>
    <s v="Bank Transfer"/>
    <s v="Retail"/>
    <s v="North-Eve"/>
    <n v="17558.73"/>
  </r>
  <r>
    <n v="1079"/>
    <d v="2023-06-06T00:00:00"/>
    <s v="David"/>
    <s v="South"/>
    <n v="1982.07"/>
    <n v="34"/>
    <x v="0"/>
    <n v="1967.96"/>
    <n v="1993.4"/>
    <s v="Returning"/>
    <n v="0.15"/>
    <s v="Credit Card"/>
    <s v="Online"/>
    <s v="South-David"/>
    <n v="864.96000000000186"/>
  </r>
  <r>
    <n v="1015"/>
    <d v="2023-10-16T00:00:00"/>
    <s v="Charlie"/>
    <s v="North"/>
    <n v="7946.69"/>
    <n v="23"/>
    <x v="1"/>
    <n v="2937.94"/>
    <n v="3007.53"/>
    <s v="Returning"/>
    <n v="0.03"/>
    <s v="Cash"/>
    <s v="Retail"/>
    <s v="North-Charlie"/>
    <n v="1600.5700000000033"/>
  </r>
  <r>
    <n v="1090"/>
    <d v="2023-08-19T00:00:00"/>
    <s v="Bob"/>
    <s v="West"/>
    <n v="9088.2000000000007"/>
    <n v="31"/>
    <x v="2"/>
    <n v="2347.81"/>
    <n v="2668.02"/>
    <s v="Returning"/>
    <n v="0.09"/>
    <s v="Bank Transfer"/>
    <s v="Retail"/>
    <s v="West-Bob"/>
    <n v="9926.510000000002"/>
  </r>
  <r>
    <n v="1042"/>
    <d v="2023-06-06T00:00:00"/>
    <s v="Bob"/>
    <s v="North"/>
    <n v="9442.65"/>
    <n v="20"/>
    <x v="1"/>
    <n v="3115.06"/>
    <n v="3565.58"/>
    <s v="Returning"/>
    <n v="0.3"/>
    <s v="Credit Card"/>
    <s v="Retail"/>
    <s v="North-Bob"/>
    <n v="9010.4"/>
  </r>
  <r>
    <n v="1077"/>
    <d v="2023-02-07T00:00:00"/>
    <s v="Eve"/>
    <s v="West"/>
    <n v="9605.34"/>
    <n v="12"/>
    <x v="2"/>
    <n v="2427.46"/>
    <n v="2743.09"/>
    <s v="New"/>
    <n v="0.28999999999999998"/>
    <s v="Credit Card"/>
    <s v="Retail"/>
    <s v="West-Eve"/>
    <n v="3787.5600000000013"/>
  </r>
  <r>
    <n v="1051"/>
    <d v="2023-04-07T00:00:00"/>
    <s v="Alice"/>
    <s v="West"/>
    <n v="5262.45"/>
    <n v="23"/>
    <x v="3"/>
    <n v="3325.43"/>
    <n v="3401.1"/>
    <s v="New"/>
    <n v="0.1"/>
    <s v="Cash"/>
    <s v="Online"/>
    <s v="West-Alice"/>
    <n v="1740.4100000000017"/>
  </r>
  <r>
    <n v="1063"/>
    <d v="2023-10-16T00:00:00"/>
    <s v="Charlie"/>
    <s v="North"/>
    <n v="9775.35"/>
    <n v="4"/>
    <x v="2"/>
    <n v="1134.67"/>
    <n v="1201.3900000000001"/>
    <s v="New"/>
    <n v="0.3"/>
    <s v="Bank Transfer"/>
    <s v="Retail"/>
    <s v="North-Charlie"/>
    <n v="266.88000000000011"/>
  </r>
  <r>
    <n v="1096"/>
    <d v="2023-09-11T00:00:00"/>
    <s v="Eve"/>
    <s v="South"/>
    <n v="7597.37"/>
    <n v="23"/>
    <x v="3"/>
    <n v="608.57000000000005"/>
    <n v="1032.22"/>
    <s v="New"/>
    <n v="0.25"/>
    <s v="Cash"/>
    <s v="Retail"/>
    <s v="South-Eve"/>
    <n v="9743.9499999999989"/>
  </r>
  <r>
    <n v="1052"/>
    <d v="2023-07-15T00:00:00"/>
    <s v="Charlie"/>
    <s v="East"/>
    <n v="1700.55"/>
    <n v="48"/>
    <x v="1"/>
    <n v="3002.35"/>
    <n v="3080.61"/>
    <s v="Returning"/>
    <n v="0.18"/>
    <s v="Bank Transfer"/>
    <s v="Retail"/>
    <s v="East-Charlie"/>
    <n v="3756.4800000000105"/>
  </r>
  <r>
    <n v="1096"/>
    <d v="2023-03-27T00:00:00"/>
    <s v="Alice"/>
    <s v="North"/>
    <n v="4821.3100000000004"/>
    <n v="48"/>
    <x v="2"/>
    <n v="2449.21"/>
    <n v="2714.12"/>
    <s v="New"/>
    <n v="0.01"/>
    <s v="Credit Card"/>
    <s v="Online"/>
    <s v="North-Alice"/>
    <n v="12715.679999999993"/>
  </r>
  <r>
    <n v="1004"/>
    <d v="2023-11-18T00:00:00"/>
    <s v="Alice"/>
    <s v="East"/>
    <n v="7211.48"/>
    <n v="1"/>
    <x v="1"/>
    <n v="182.99"/>
    <n v="211.18"/>
    <s v="Returning"/>
    <n v="0.27"/>
    <s v="Bank Transfer"/>
    <s v="Retail"/>
    <s v="East-Alice"/>
    <n v="28.189999999999998"/>
  </r>
  <r>
    <n v="1094"/>
    <d v="2023-01-10T00:00:00"/>
    <s v="Eve"/>
    <s v="North"/>
    <n v="2548.67"/>
    <n v="25"/>
    <x v="3"/>
    <n v="1933.39"/>
    <n v="1982.92"/>
    <s v="New"/>
    <n v="0.17"/>
    <s v="Bank Transfer"/>
    <s v="Online"/>
    <s v="North-Eve"/>
    <n v="1238.2499999999993"/>
  </r>
  <r>
    <n v="1023"/>
    <d v="2023-01-05T00:00:00"/>
    <s v="Alice"/>
    <s v="East"/>
    <n v="6442.09"/>
    <n v="2"/>
    <x v="2"/>
    <n v="575.32000000000005"/>
    <n v="914.77"/>
    <s v="Returning"/>
    <n v="0.26"/>
    <s v="Bank Transfer"/>
    <s v="Online"/>
    <s v="East-Alice"/>
    <n v="678.89999999999986"/>
  </r>
  <r>
    <n v="1015"/>
    <d v="2023-05-03T00:00:00"/>
    <s v="David"/>
    <s v="South"/>
    <n v="6699.34"/>
    <n v="30"/>
    <x v="1"/>
    <n v="2680.22"/>
    <n v="3027.92"/>
    <s v="Returning"/>
    <n v="0.25"/>
    <s v="Bank Transfer"/>
    <s v="Online"/>
    <s v="South-David"/>
    <n v="10431.000000000007"/>
  </r>
  <r>
    <n v="1043"/>
    <d v="2023-11-26T00:00:00"/>
    <s v="Bob"/>
    <s v="South"/>
    <n v="1710.73"/>
    <n v="3"/>
    <x v="3"/>
    <n v="2009.1"/>
    <n v="2186.42"/>
    <s v="New"/>
    <n v="0.25"/>
    <s v="Bank Transfer"/>
    <s v="Online"/>
    <s v="South-Bob"/>
    <n v="531.96000000000049"/>
  </r>
  <r>
    <n v="1029"/>
    <d v="2023-12-19T00:00:00"/>
    <s v="Eve"/>
    <s v="North"/>
    <n v="5694.34"/>
    <n v="21"/>
    <x v="1"/>
    <n v="3085.1"/>
    <n v="3200.75"/>
    <s v="New"/>
    <n v="0.21"/>
    <s v="Cash"/>
    <s v="Retail"/>
    <s v="North-Eve"/>
    <n v="2428.6500000000019"/>
  </r>
  <r>
    <n v="1036"/>
    <d v="2023-04-28T00:00:00"/>
    <s v="Charlie"/>
    <s v="West"/>
    <n v="7739.11"/>
    <n v="25"/>
    <x v="0"/>
    <n v="4037.73"/>
    <n v="4446.45"/>
    <s v="Returning"/>
    <n v="0.09"/>
    <s v="Bank Transfer"/>
    <s v="Online"/>
    <s v="West-Charlie"/>
    <n v="10217.999999999995"/>
  </r>
  <r>
    <n v="1013"/>
    <d v="2023-10-21T00:00:00"/>
    <s v="David"/>
    <s v="East"/>
    <n v="5039.07"/>
    <n v="20"/>
    <x v="3"/>
    <n v="1533.36"/>
    <n v="1649.74"/>
    <s v="Returning"/>
    <n v="0.1"/>
    <s v="Bank Transfer"/>
    <s v="Online"/>
    <s v="East-David"/>
    <n v="2327.6000000000022"/>
  </r>
  <r>
    <n v="1032"/>
    <d v="2023-06-08T00:00:00"/>
    <s v="Eve"/>
    <s v="West"/>
    <n v="219.82"/>
    <n v="49"/>
    <x v="3"/>
    <n v="4812.41"/>
    <n v="5088"/>
    <s v="Returning"/>
    <n v="0.09"/>
    <s v="Credit Card"/>
    <s v="Online"/>
    <s v="West-Eve"/>
    <n v="13503.910000000007"/>
  </r>
  <r>
    <n v="1071"/>
    <d v="2023-10-30T00:00:00"/>
    <s v="Alice"/>
    <s v="West"/>
    <n v="189.48"/>
    <n v="22"/>
    <x v="3"/>
    <n v="2701.39"/>
    <n v="3185.81"/>
    <s v="New"/>
    <n v="0.01"/>
    <s v="Bank Transfer"/>
    <s v="Online"/>
    <s v="West-Alice"/>
    <n v="10657.240000000002"/>
  </r>
  <r>
    <n v="1059"/>
    <d v="2023-08-16T00:00:00"/>
    <s v="Alice"/>
    <s v="West"/>
    <n v="3634.59"/>
    <n v="21"/>
    <x v="2"/>
    <n v="3110.54"/>
    <n v="3192.99"/>
    <s v="New"/>
    <n v="0.17"/>
    <s v="Credit Card"/>
    <s v="Online"/>
    <s v="West-Alice"/>
    <n v="1731.4499999999962"/>
  </r>
  <r>
    <n v="1086"/>
    <d v="2023-12-31T00:00:00"/>
    <s v="Alice"/>
    <s v="South"/>
    <n v="9269.32"/>
    <n v="33"/>
    <x v="2"/>
    <n v="3419.33"/>
    <n v="3890.36"/>
    <s v="Returning"/>
    <n v="0.21"/>
    <s v="Cash"/>
    <s v="Retail"/>
    <s v="South-Alice"/>
    <n v="15543.990000000007"/>
  </r>
  <r>
    <n v="1028"/>
    <d v="2023-08-04T00:00:00"/>
    <s v="Alice"/>
    <s v="North"/>
    <n v="2363.9"/>
    <n v="38"/>
    <x v="2"/>
    <n v="3350.32"/>
    <n v="3449.94"/>
    <s v="New"/>
    <n v="0.26"/>
    <s v="Cash"/>
    <s v="Online"/>
    <s v="North-Alice"/>
    <n v="3785.5599999999959"/>
  </r>
  <r>
    <n v="1066"/>
    <d v="2023-07-03T00:00:00"/>
    <s v="Charlie"/>
    <s v="North"/>
    <n v="6380.2"/>
    <n v="15"/>
    <x v="0"/>
    <n v="2579.31"/>
    <n v="2867.36"/>
    <s v="Returning"/>
    <n v="0.04"/>
    <s v="Bank Transfer"/>
    <s v="Retail"/>
    <s v="North-Charlie"/>
    <n v="4320.7500000000027"/>
  </r>
  <r>
    <n v="1042"/>
    <d v="2023-01-15T00:00:00"/>
    <s v="David"/>
    <s v="South"/>
    <n v="2298.5500000000002"/>
    <n v="46"/>
    <x v="0"/>
    <n v="2172.38"/>
    <n v="2367.11"/>
    <s v="New"/>
    <n v="0.16"/>
    <s v="Cash"/>
    <s v="Retail"/>
    <s v="South-David"/>
    <n v="8957.5800000000017"/>
  </r>
  <r>
    <n v="1045"/>
    <d v="2023-06-06T00:00:00"/>
    <s v="Bob"/>
    <s v="South"/>
    <n v="3284.53"/>
    <n v="15"/>
    <x v="3"/>
    <n v="316.22000000000003"/>
    <n v="799.04"/>
    <s v="New"/>
    <n v="0"/>
    <s v="Bank Transfer"/>
    <s v="Online"/>
    <s v="South-Bob"/>
    <n v="7242.2999999999993"/>
  </r>
  <r>
    <n v="1062"/>
    <d v="2023-05-16T00:00:00"/>
    <s v="Charlie"/>
    <s v="North"/>
    <n v="8495.6200000000008"/>
    <n v="46"/>
    <x v="0"/>
    <n v="159.32"/>
    <n v="303.36"/>
    <s v="New"/>
    <n v="0.03"/>
    <s v="Cash"/>
    <s v="Retail"/>
    <s v="North-Charlie"/>
    <n v="6625.8400000000011"/>
  </r>
  <r>
    <n v="1057"/>
    <d v="2023-09-18T00:00:00"/>
    <s v="Charlie"/>
    <s v="West"/>
    <n v="7315.73"/>
    <n v="25"/>
    <x v="1"/>
    <n v="1821.91"/>
    <n v="2027.74"/>
    <s v="New"/>
    <n v="0.02"/>
    <s v="Bank Transfer"/>
    <s v="Retail"/>
    <s v="West-Charlie"/>
    <n v="5145.7499999999982"/>
  </r>
  <r>
    <n v="1006"/>
    <d v="2023-06-06T00:00:00"/>
    <s v="Bob"/>
    <s v="East"/>
    <n v="1044.45"/>
    <n v="21"/>
    <x v="3"/>
    <n v="1701.62"/>
    <n v="2193.2199999999998"/>
    <s v="New"/>
    <n v="0.22"/>
    <s v="Bank Transfer"/>
    <s v="Retail"/>
    <s v="East-Bob"/>
    <n v="10323.599999999999"/>
  </r>
  <r>
    <n v="1028"/>
    <d v="2023-02-16T00:00:00"/>
    <s v="Bob"/>
    <s v="East"/>
    <n v="4344.1499999999996"/>
    <n v="24"/>
    <x v="3"/>
    <n v="1969.09"/>
    <n v="2241.96"/>
    <s v="Returning"/>
    <n v="0.02"/>
    <s v="Credit Card"/>
    <s v="Online"/>
    <s v="East-Bob"/>
    <n v="6548.8800000000028"/>
  </r>
  <r>
    <n v="1028"/>
    <d v="2023-11-20T00:00:00"/>
    <s v="Alice"/>
    <s v="East"/>
    <n v="388.78"/>
    <n v="5"/>
    <x v="1"/>
    <n v="734.92"/>
    <n v="991.21"/>
    <s v="Returning"/>
    <n v="0.21"/>
    <s v="Credit Card"/>
    <s v="Online"/>
    <s v="East-Alice"/>
    <n v="1281.4500000000003"/>
  </r>
  <r>
    <n v="1044"/>
    <d v="2023-11-28T00:00:00"/>
    <s v="Charlie"/>
    <s v="West"/>
    <n v="4860.8100000000004"/>
    <n v="6"/>
    <x v="3"/>
    <n v="3703.93"/>
    <n v="3840.24"/>
    <s v="New"/>
    <n v="7.0000000000000007E-2"/>
    <s v="Credit Card"/>
    <s v="Online"/>
    <s v="West-Charlie"/>
    <n v="817.85999999999967"/>
  </r>
  <r>
    <n v="1084"/>
    <d v="2023-06-22T00:00:00"/>
    <s v="Eve"/>
    <s v="North"/>
    <n v="6658.1"/>
    <n v="49"/>
    <x v="0"/>
    <n v="4291.97"/>
    <n v="4645.6400000000003"/>
    <s v="Returning"/>
    <n v="0.26"/>
    <s v="Credit Card"/>
    <s v="Online"/>
    <s v="North-Eve"/>
    <n v="17329.830000000002"/>
  </r>
  <r>
    <n v="1030"/>
    <d v="2023-05-10T00:00:00"/>
    <s v="Bob"/>
    <s v="South"/>
    <n v="1273.18"/>
    <n v="43"/>
    <x v="2"/>
    <n v="4696.6400000000003"/>
    <n v="4713.68"/>
    <s v="Returning"/>
    <n v="0.24"/>
    <s v="Bank Transfer"/>
    <s v="Online"/>
    <s v="South-Bob"/>
    <n v="732.71999999999844"/>
  </r>
  <r>
    <n v="1062"/>
    <d v="2023-04-05T00:00:00"/>
    <s v="Bob"/>
    <s v="North"/>
    <n v="2959.96"/>
    <n v="48"/>
    <x v="1"/>
    <n v="2487.19"/>
    <n v="2521.4499999999998"/>
    <s v="New"/>
    <n v="0.28999999999999998"/>
    <s v="Cash"/>
    <s v="Online"/>
    <s v="North-Bob"/>
    <n v="1644.4799999999886"/>
  </r>
  <r>
    <n v="1075"/>
    <d v="2023-04-25T00:00:00"/>
    <s v="David"/>
    <s v="West"/>
    <n v="4038.58"/>
    <n v="44"/>
    <x v="0"/>
    <n v="3519.29"/>
    <n v="3822.98"/>
    <s v="Returning"/>
    <n v="0.27"/>
    <s v="Bank Transfer"/>
    <s v="Online"/>
    <s v="West-David"/>
    <n v="13362.360000000002"/>
  </r>
  <r>
    <n v="1092"/>
    <d v="2023-08-31T00:00:00"/>
    <s v="Eve"/>
    <s v="South"/>
    <n v="9203.36"/>
    <n v="47"/>
    <x v="1"/>
    <n v="4284.9799999999996"/>
    <n v="4462.3999999999996"/>
    <s v="New"/>
    <n v="0.28000000000000003"/>
    <s v="Credit Card"/>
    <s v="Retail"/>
    <s v="South-Eve"/>
    <n v="8338.7400000000034"/>
  </r>
  <r>
    <n v="1089"/>
    <d v="2023-10-19T00:00:00"/>
    <s v="Eve"/>
    <s v="West"/>
    <n v="9933.2199999999993"/>
    <n v="23"/>
    <x v="1"/>
    <n v="2120.54"/>
    <n v="2597.67"/>
    <s v="Returning"/>
    <n v="0.26"/>
    <s v="Credit Card"/>
    <s v="Retail"/>
    <s v="West-Eve"/>
    <n v="10973.990000000002"/>
  </r>
  <r>
    <n v="1062"/>
    <d v="2023-10-09T00:00:00"/>
    <s v="Bob"/>
    <s v="East"/>
    <n v="544.62"/>
    <n v="4"/>
    <x v="3"/>
    <n v="1581.59"/>
    <n v="2034.15"/>
    <s v="Returning"/>
    <n v="0.21"/>
    <s v="Cash"/>
    <s v="Online"/>
    <s v="East-Bob"/>
    <n v="1810.2400000000007"/>
  </r>
  <r>
    <n v="1097"/>
    <d v="2023-10-26T00:00:00"/>
    <s v="Alice"/>
    <s v="East"/>
    <n v="7633.98"/>
    <n v="27"/>
    <x v="3"/>
    <n v="4686.79"/>
    <n v="5046.51"/>
    <s v="Returning"/>
    <n v="0.05"/>
    <s v="Credit Card"/>
    <s v="Retail"/>
    <s v="East-Alice"/>
    <n v="9712.440000000006"/>
  </r>
  <r>
    <n v="1001"/>
    <d v="2023-10-10T00:00:00"/>
    <s v="David"/>
    <s v="West"/>
    <n v="3780.07"/>
    <n v="18"/>
    <x v="0"/>
    <n v="2602.6"/>
    <n v="3013.49"/>
    <s v="Returning"/>
    <n v="0.08"/>
    <s v="Bank Transfer"/>
    <s v="Online"/>
    <s v="West-David"/>
    <n v="7396.0199999999977"/>
  </r>
  <r>
    <n v="1027"/>
    <d v="2023-03-10T00:00:00"/>
    <s v="Eve"/>
    <s v="South"/>
    <n v="3985.34"/>
    <n v="21"/>
    <x v="1"/>
    <n v="2511.41"/>
    <n v="2848.4"/>
    <s v="Returning"/>
    <n v="0.06"/>
    <s v="Bank Transfer"/>
    <s v="Online"/>
    <s v="South-Eve"/>
    <n v="7076.7900000000045"/>
  </r>
  <r>
    <n v="1062"/>
    <d v="2023-05-28T00:00:00"/>
    <s v="Bob"/>
    <s v="South"/>
    <n v="7567.22"/>
    <n v="28"/>
    <x v="3"/>
    <n v="933.16"/>
    <n v="1004.7"/>
    <s v="Returning"/>
    <n v="0.18"/>
    <s v="Bank Transfer"/>
    <s v="Online"/>
    <s v="South-Bob"/>
    <n v="2003.1200000000022"/>
  </r>
  <r>
    <n v="1077"/>
    <d v="2023-01-11T00:00:00"/>
    <s v="Eve"/>
    <s v="North"/>
    <n v="9192.42"/>
    <n v="35"/>
    <x v="3"/>
    <n v="585.37"/>
    <n v="970.49"/>
    <s v="Returning"/>
    <n v="0.15"/>
    <s v="Bank Transfer"/>
    <s v="Retail"/>
    <s v="North-Eve"/>
    <n v="13479.2"/>
  </r>
  <r>
    <n v="1003"/>
    <d v="2023-09-11T00:00:00"/>
    <s v="David"/>
    <s v="East"/>
    <n v="9514.19"/>
    <n v="22"/>
    <x v="1"/>
    <n v="4218.43"/>
    <n v="4331.42"/>
    <s v="New"/>
    <n v="0.26"/>
    <s v="Bank Transfer"/>
    <s v="Online"/>
    <s v="East-David"/>
    <n v="2485.7799999999952"/>
  </r>
  <r>
    <n v="1070"/>
    <d v="2023-11-26T00:00:00"/>
    <s v="David"/>
    <s v="North"/>
    <n v="5813.51"/>
    <n v="40"/>
    <x v="0"/>
    <n v="3089.96"/>
    <n v="3258.45"/>
    <s v="New"/>
    <n v="0.28999999999999998"/>
    <s v="Cash"/>
    <s v="Online"/>
    <s v="North-David"/>
    <n v="6739.5999999999913"/>
  </r>
  <r>
    <n v="1072"/>
    <d v="2023-12-26T00:00:00"/>
    <s v="Charlie"/>
    <s v="North"/>
    <n v="3635.5"/>
    <n v="23"/>
    <x v="0"/>
    <n v="1662.83"/>
    <n v="2074.25"/>
    <s v="New"/>
    <n v="0.12"/>
    <s v="Bank Transfer"/>
    <s v="Online"/>
    <s v="North-Charlie"/>
    <n v="9462.6600000000017"/>
  </r>
  <r>
    <n v="1027"/>
    <d v="2023-02-07T00:00:00"/>
    <s v="Bob"/>
    <s v="West"/>
    <n v="7896.74"/>
    <n v="3"/>
    <x v="1"/>
    <n v="999.09"/>
    <n v="1271.99"/>
    <s v="New"/>
    <n v="0.15"/>
    <s v="Credit Card"/>
    <s v="Online"/>
    <s v="West-Bob"/>
    <n v="818.69999999999993"/>
  </r>
  <r>
    <n v="1009"/>
    <d v="2023-05-14T00:00:00"/>
    <s v="David"/>
    <s v="West"/>
    <n v="2584.91"/>
    <n v="40"/>
    <x v="0"/>
    <n v="2799.71"/>
    <n v="3231.08"/>
    <s v="Returning"/>
    <n v="0.28999999999999998"/>
    <s v="Credit Card"/>
    <s v="Retail"/>
    <s v="West-David"/>
    <n v="17254.799999999996"/>
  </r>
  <r>
    <n v="1062"/>
    <d v="2023-07-19T00:00:00"/>
    <s v="Charlie"/>
    <s v="North"/>
    <n v="5684.33"/>
    <n v="10"/>
    <x v="3"/>
    <n v="2940.4"/>
    <n v="3054.79"/>
    <s v="Returning"/>
    <n v="0.08"/>
    <s v="Credit Card"/>
    <s v="Online"/>
    <s v="North-Charlie"/>
    <n v="1143.8999999999987"/>
  </r>
  <r>
    <n v="1037"/>
    <d v="2023-01-23T00:00:00"/>
    <s v="Charlie"/>
    <s v="East"/>
    <n v="3649.93"/>
    <n v="25"/>
    <x v="1"/>
    <n v="1074.6199999999999"/>
    <n v="1382.43"/>
    <s v="Returning"/>
    <n v="0.24"/>
    <s v="Credit Card"/>
    <s v="Retail"/>
    <s v="East-Charlie"/>
    <n v="7695.2500000000045"/>
  </r>
  <r>
    <n v="1097"/>
    <d v="2023-10-30T00:00:00"/>
    <s v="Eve"/>
    <s v="West"/>
    <n v="6600.65"/>
    <n v="49"/>
    <x v="3"/>
    <n v="4264.46"/>
    <n v="4315.5200000000004"/>
    <s v="New"/>
    <n v="7.0000000000000007E-2"/>
    <s v="Cash"/>
    <s v="Retail"/>
    <s v="West-Eve"/>
    <n v="2501.9400000000196"/>
  </r>
  <r>
    <n v="1051"/>
    <d v="2023-12-12T00:00:00"/>
    <s v="Eve"/>
    <s v="North"/>
    <n v="2479.9499999999998"/>
    <n v="8"/>
    <x v="2"/>
    <n v="467.11"/>
    <n v="792.21"/>
    <s v="New"/>
    <n v="0.2"/>
    <s v="Credit Card"/>
    <s v="Online"/>
    <s v="North-Eve"/>
    <n v="2600.8000000000002"/>
  </r>
  <r>
    <n v="1044"/>
    <d v="2023-10-29T00:00:00"/>
    <s v="Charlie"/>
    <s v="North"/>
    <n v="1996.77"/>
    <n v="11"/>
    <x v="2"/>
    <n v="1812.66"/>
    <n v="2196.3000000000002"/>
    <s v="New"/>
    <n v="0.08"/>
    <s v="Cash"/>
    <s v="Online"/>
    <s v="North-Charlie"/>
    <n v="4220.0400000000009"/>
  </r>
  <r>
    <n v="1024"/>
    <d v="2023-12-29T00:00:00"/>
    <s v="Eve"/>
    <s v="North"/>
    <n v="9190.57"/>
    <n v="5"/>
    <x v="0"/>
    <n v="3417.9"/>
    <n v="3714.52"/>
    <s v="Returning"/>
    <n v="0.27"/>
    <s v="Credit Card"/>
    <s v="Retail"/>
    <s v="North-Eve"/>
    <n v="1483.0999999999995"/>
  </r>
  <r>
    <n v="1079"/>
    <d v="2023-08-06T00:00:00"/>
    <s v="David"/>
    <s v="North"/>
    <n v="1107.8599999999999"/>
    <n v="45"/>
    <x v="2"/>
    <n v="1406.9"/>
    <n v="1547.35"/>
    <s v="New"/>
    <n v="0.17"/>
    <s v="Cash"/>
    <s v="Retail"/>
    <s v="North-David"/>
    <n v="6320.2499999999918"/>
  </r>
  <r>
    <n v="1059"/>
    <d v="2023-05-21T00:00:00"/>
    <s v="Alice"/>
    <s v="North"/>
    <n v="5108.9799999999996"/>
    <n v="37"/>
    <x v="3"/>
    <n v="4146.99"/>
    <n v="4172.3500000000004"/>
    <s v="Returning"/>
    <n v="0.06"/>
    <s v="Cash"/>
    <s v="Retail"/>
    <s v="North-Alice"/>
    <n v="938.32000000002154"/>
  </r>
  <r>
    <n v="1032"/>
    <d v="2023-04-14T00:00:00"/>
    <s v="David"/>
    <s v="North"/>
    <n v="2286.44"/>
    <n v="45"/>
    <x v="2"/>
    <n v="3712.35"/>
    <n v="3780.88"/>
    <s v="New"/>
    <n v="7.0000000000000007E-2"/>
    <s v="Cash"/>
    <s v="Retail"/>
    <s v="North-David"/>
    <n v="3083.850000000009"/>
  </r>
  <r>
    <n v="1096"/>
    <d v="2023-07-29T00:00:00"/>
    <s v="Charlie"/>
    <s v="West"/>
    <n v="485.41"/>
    <n v="38"/>
    <x v="3"/>
    <n v="3955.66"/>
    <n v="4270.59"/>
    <s v="Returning"/>
    <n v="0.15"/>
    <s v="Credit Card"/>
    <s v="Online"/>
    <s v="West-Charlie"/>
    <n v="11967.340000000011"/>
  </r>
  <r>
    <n v="1088"/>
    <d v="2023-04-21T00:00:00"/>
    <s v="Charlie"/>
    <s v="East"/>
    <n v="456.59"/>
    <n v="29"/>
    <x v="0"/>
    <n v="639.58000000000004"/>
    <n v="1107.45"/>
    <s v="New"/>
    <n v="0.28999999999999998"/>
    <s v="Cash"/>
    <s v="Retail"/>
    <s v="East-Charlie"/>
    <n v="13568.23"/>
  </r>
  <r>
    <n v="1052"/>
    <d v="2023-04-14T00:00:00"/>
    <s v="David"/>
    <s v="North"/>
    <n v="1834.7"/>
    <n v="5"/>
    <x v="0"/>
    <n v="745.71"/>
    <n v="856.91"/>
    <s v="Returning"/>
    <n v="0.23"/>
    <s v="Bank Transfer"/>
    <s v="Retail"/>
    <s v="North-David"/>
    <n v="555.99999999999966"/>
  </r>
  <r>
    <n v="1062"/>
    <d v="2023-11-12T00:00:00"/>
    <s v="Eve"/>
    <s v="South"/>
    <n v="8681.0300000000007"/>
    <n v="9"/>
    <x v="3"/>
    <n v="1468.05"/>
    <n v="1838.21"/>
    <s v="New"/>
    <n v="0.15"/>
    <s v="Bank Transfer"/>
    <s v="Retail"/>
    <s v="South-Eve"/>
    <n v="3331.4400000000005"/>
  </r>
  <r>
    <n v="1058"/>
    <d v="2023-06-20T00:00:00"/>
    <s v="Eve"/>
    <s v="West"/>
    <n v="2896.54"/>
    <n v="48"/>
    <x v="2"/>
    <n v="2614.48"/>
    <n v="3049.04"/>
    <s v="New"/>
    <n v="0.1"/>
    <s v="Credit Card"/>
    <s v="Retail"/>
    <s v="West-Eve"/>
    <n v="20858.879999999997"/>
  </r>
  <r>
    <n v="1052"/>
    <d v="2023-12-22T00:00:00"/>
    <s v="Charlie"/>
    <s v="West"/>
    <n v="9509.5499999999993"/>
    <n v="2"/>
    <x v="0"/>
    <n v="3752.68"/>
    <n v="4017.91"/>
    <s v="Returning"/>
    <n v="0.16"/>
    <s v="Bank Transfer"/>
    <s v="Online"/>
    <s v="West-Charlie"/>
    <n v="530.46"/>
  </r>
  <r>
    <n v="1012"/>
    <d v="2023-11-20T00:00:00"/>
    <s v="Bob"/>
    <s v="North"/>
    <n v="5858.06"/>
    <n v="1"/>
    <x v="1"/>
    <n v="4190.83"/>
    <n v="4528.7700000000004"/>
    <s v="Returning"/>
    <n v="0.22"/>
    <s v="Bank Transfer"/>
    <s v="Online"/>
    <s v="North-Bob"/>
    <n v="337.94000000000051"/>
  </r>
  <r>
    <n v="1039"/>
    <d v="2023-05-13T00:00:00"/>
    <s v="Eve"/>
    <s v="West"/>
    <n v="4422.4799999999996"/>
    <n v="40"/>
    <x v="0"/>
    <n v="3536.46"/>
    <n v="3945.82"/>
    <s v="New"/>
    <n v="0.24"/>
    <s v="Bank Transfer"/>
    <s v="Online"/>
    <s v="West-Eve"/>
    <n v="16374.400000000005"/>
  </r>
  <r>
    <n v="1002"/>
    <d v="2023-10-20T00:00:00"/>
    <s v="David"/>
    <s v="North"/>
    <n v="5842.88"/>
    <n v="30"/>
    <x v="2"/>
    <n v="4646.55"/>
    <n v="4784.28"/>
    <s v="Returning"/>
    <n v="0.1"/>
    <s v="Credit Card"/>
    <s v="Retail"/>
    <s v="North-David"/>
    <n v="4131.8999999999869"/>
  </r>
  <r>
    <n v="1003"/>
    <d v="2023-11-24T00:00:00"/>
    <s v="Eve"/>
    <s v="East"/>
    <n v="5215.3100000000004"/>
    <n v="11"/>
    <x v="1"/>
    <n v="3706.78"/>
    <n v="3862.26"/>
    <s v="New"/>
    <n v="0.22"/>
    <s v="Credit Card"/>
    <s v="Retail"/>
    <s v="East-Eve"/>
    <n v="1710.2800000000002"/>
  </r>
  <r>
    <n v="1056"/>
    <d v="2023-05-07T00:00:00"/>
    <s v="David"/>
    <s v="East"/>
    <n v="7611.88"/>
    <n v="28"/>
    <x v="2"/>
    <n v="1566.03"/>
    <n v="1576.34"/>
    <s v="Returning"/>
    <n v="0.2"/>
    <s v="Bank Transfer"/>
    <s v="Online"/>
    <s v="East-David"/>
    <n v="288.67999999999847"/>
  </r>
  <r>
    <n v="1081"/>
    <d v="2023-04-16T00:00:00"/>
    <s v="Charlie"/>
    <s v="West"/>
    <n v="2896.71"/>
    <n v="44"/>
    <x v="3"/>
    <n v="1362.15"/>
    <n v="1844.07"/>
    <s v="New"/>
    <n v="0.28999999999999998"/>
    <s v="Credit Card"/>
    <s v="Online"/>
    <s v="West-Charlie"/>
    <n v="21204.479999999992"/>
  </r>
  <r>
    <n v="1059"/>
    <d v="2023-04-02T00:00:00"/>
    <s v="Eve"/>
    <s v="West"/>
    <n v="3595.2"/>
    <n v="12"/>
    <x v="1"/>
    <n v="3496.15"/>
    <n v="3955.75"/>
    <s v="Returning"/>
    <n v="0.28000000000000003"/>
    <s v="Cash"/>
    <s v="Retail"/>
    <s v="West-Eve"/>
    <n v="5515.1999999999989"/>
  </r>
  <r>
    <n v="1002"/>
    <d v="2023-10-14T00:00:00"/>
    <s v="David"/>
    <s v="South"/>
    <n v="8951.5300000000007"/>
    <n v="39"/>
    <x v="2"/>
    <n v="1004.71"/>
    <n v="1389.35"/>
    <s v="New"/>
    <n v="0.24"/>
    <s v="Bank Transfer"/>
    <s v="Online"/>
    <s v="South-David"/>
    <n v="15000.959999999995"/>
  </r>
  <r>
    <n v="1002"/>
    <d v="2023-02-20T00:00:00"/>
    <s v="Charlie"/>
    <s v="West"/>
    <n v="9469.92"/>
    <n v="26"/>
    <x v="1"/>
    <n v="508.94"/>
    <n v="557.69000000000005"/>
    <s v="New"/>
    <n v="0.22"/>
    <s v="Credit Card"/>
    <s v="Retail"/>
    <s v="West-Charlie"/>
    <n v="1267.5000000000014"/>
  </r>
  <r>
    <n v="1092"/>
    <d v="2023-01-29T00:00:00"/>
    <s v="Bob"/>
    <s v="South"/>
    <n v="8936.33"/>
    <n v="13"/>
    <x v="2"/>
    <n v="2684.5"/>
    <n v="2913.78"/>
    <s v="New"/>
    <n v="0.08"/>
    <s v="Credit Card"/>
    <s v="Retail"/>
    <s v="South-Bob"/>
    <n v="2980.6400000000026"/>
  </r>
  <r>
    <n v="1054"/>
    <d v="2023-10-23T00:00:00"/>
    <s v="David"/>
    <s v="East"/>
    <n v="4252.54"/>
    <n v="8"/>
    <x v="1"/>
    <n v="4117.13"/>
    <n v="4177.0600000000004"/>
    <s v="Returning"/>
    <n v="0.25"/>
    <s v="Bank Transfer"/>
    <s v="Retail"/>
    <s v="East-David"/>
    <n v="479.44000000000233"/>
  </r>
  <r>
    <n v="1087"/>
    <d v="2023-10-24T00:00:00"/>
    <s v="Bob"/>
    <s v="East"/>
    <n v="7825.62"/>
    <n v="28"/>
    <x v="2"/>
    <n v="551.83000000000004"/>
    <n v="569.63"/>
    <s v="New"/>
    <n v="0.13"/>
    <s v="Credit Card"/>
    <s v="Retail"/>
    <s v="East-Bob"/>
    <n v="498.39999999999873"/>
  </r>
  <r>
    <n v="1096"/>
    <d v="2023-08-02T00:00:00"/>
    <s v="Bob"/>
    <s v="North"/>
    <n v="4815.72"/>
    <n v="30"/>
    <x v="3"/>
    <n v="3969.86"/>
    <n v="4281.79"/>
    <s v="Returning"/>
    <n v="0.08"/>
    <s v="Bank Transfer"/>
    <s v="Retail"/>
    <s v="North-Bob"/>
    <n v="9357.8999999999942"/>
  </r>
  <r>
    <n v="1097"/>
    <d v="2023-09-24T00:00:00"/>
    <s v="Alice"/>
    <s v="East"/>
    <n v="5025.6400000000003"/>
    <n v="9"/>
    <x v="1"/>
    <n v="4067.28"/>
    <n v="4548.09"/>
    <s v="Returning"/>
    <n v="0.12"/>
    <s v="Credit Card"/>
    <s v="Retail"/>
    <s v="East-Alice"/>
    <n v="4327.2899999999991"/>
  </r>
  <r>
    <n v="1001"/>
    <d v="2023-09-14T00:00:00"/>
    <s v="Eve"/>
    <s v="South"/>
    <n v="2126.33"/>
    <n v="39"/>
    <x v="1"/>
    <n v="2437.2600000000002"/>
    <n v="2889.67"/>
    <s v="Returning"/>
    <n v="0.25"/>
    <s v="Cash"/>
    <s v="Online"/>
    <s v="South-Eve"/>
    <n v="17643.989999999994"/>
  </r>
  <r>
    <n v="1019"/>
    <d v="2023-10-29T00:00:00"/>
    <s v="David"/>
    <s v="West"/>
    <n v="5952.19"/>
    <n v="31"/>
    <x v="1"/>
    <n v="333.69"/>
    <n v="685.1"/>
    <s v="New"/>
    <n v="0.04"/>
    <s v="Bank Transfer"/>
    <s v="Online"/>
    <s v="West-David"/>
    <n v="10893.710000000001"/>
  </r>
  <r>
    <n v="1002"/>
    <d v="2023-04-11T00:00:00"/>
    <s v="Bob"/>
    <s v="North"/>
    <n v="1942.75"/>
    <n v="21"/>
    <x v="1"/>
    <n v="914.22"/>
    <n v="971.57"/>
    <s v="Returning"/>
    <n v="0.14000000000000001"/>
    <s v="Cash"/>
    <s v="Online"/>
    <s v="North-Bob"/>
    <n v="1204.3500000000004"/>
  </r>
  <r>
    <n v="1053"/>
    <d v="2023-12-12T00:00:00"/>
    <s v="Alice"/>
    <s v="South"/>
    <n v="3382.49"/>
    <n v="47"/>
    <x v="3"/>
    <n v="3551.76"/>
    <n v="3696.1"/>
    <s v="Returning"/>
    <n v="0.15"/>
    <s v="Bank Transfer"/>
    <s v="Retail"/>
    <s v="South-Alice"/>
    <n v="6783.979999999985"/>
  </r>
  <r>
    <n v="1044"/>
    <d v="2023-04-20T00:00:00"/>
    <s v="Charlie"/>
    <s v="West"/>
    <n v="8564.7999999999993"/>
    <n v="34"/>
    <x v="1"/>
    <n v="3573.3"/>
    <n v="3740.13"/>
    <s v="Returning"/>
    <n v="0.01"/>
    <s v="Credit Card"/>
    <s v="Online"/>
    <s v="West-Charlie"/>
    <n v="5672.2199999999975"/>
  </r>
  <r>
    <n v="1090"/>
    <d v="2023-07-01T00:00:00"/>
    <s v="David"/>
    <s v="North"/>
    <n v="2150.0500000000002"/>
    <n v="31"/>
    <x v="0"/>
    <n v="4496.8599999999997"/>
    <n v="4880.8"/>
    <s v="New"/>
    <n v="0.06"/>
    <s v="Cash"/>
    <s v="Retail"/>
    <s v="North-David"/>
    <n v="11902.140000000016"/>
  </r>
  <r>
    <n v="1032"/>
    <d v="2023-11-09T00:00:00"/>
    <s v="Bob"/>
    <s v="East"/>
    <n v="804.47"/>
    <n v="25"/>
    <x v="3"/>
    <n v="2934.3"/>
    <n v="3337.4"/>
    <s v="Returning"/>
    <n v="0.25"/>
    <s v="Credit Card"/>
    <s v="Retail"/>
    <s v="East-Bob"/>
    <n v="10077.499999999998"/>
  </r>
  <r>
    <n v="1070"/>
    <d v="2023-01-01T00:00:00"/>
    <s v="Eve"/>
    <s v="South"/>
    <n v="783.18"/>
    <n v="12"/>
    <x v="0"/>
    <n v="664.33"/>
    <n v="863.03"/>
    <s v="Returning"/>
    <n v="0.25"/>
    <s v="Bank Transfer"/>
    <s v="Retail"/>
    <s v="South-Eve"/>
    <n v="2384.3999999999992"/>
  </r>
  <r>
    <n v="1032"/>
    <d v="2023-11-15T00:00:00"/>
    <s v="Alice"/>
    <s v="West"/>
    <n v="9413.77"/>
    <n v="1"/>
    <x v="1"/>
    <n v="651"/>
    <n v="865.76"/>
    <s v="Returning"/>
    <n v="0.09"/>
    <s v="Bank Transfer"/>
    <s v="Retail"/>
    <s v="West-Alice"/>
    <n v="214.76"/>
  </r>
  <r>
    <n v="1068"/>
    <d v="2023-02-24T00:00:00"/>
    <s v="Bob"/>
    <s v="North"/>
    <n v="5118.51"/>
    <n v="22"/>
    <x v="2"/>
    <n v="3619.61"/>
    <n v="3651.42"/>
    <s v="Returning"/>
    <n v="0.26"/>
    <s v="Bank Transfer"/>
    <s v="Online"/>
    <s v="North-Bob"/>
    <n v="699.8199999999988"/>
  </r>
  <r>
    <n v="1055"/>
    <d v="2023-05-29T00:00:00"/>
    <s v="Eve"/>
    <s v="North"/>
    <n v="4153.18"/>
    <n v="40"/>
    <x v="0"/>
    <n v="959.73"/>
    <n v="1111.4100000000001"/>
    <s v="New"/>
    <n v="0.23"/>
    <s v="Bank Transfer"/>
    <s v="Online"/>
    <s v="North-Eve"/>
    <n v="6067.2000000000025"/>
  </r>
  <r>
    <n v="1075"/>
    <d v="2023-11-05T00:00:00"/>
    <s v="Bob"/>
    <s v="East"/>
    <n v="8127.7"/>
    <n v="37"/>
    <x v="1"/>
    <n v="1675.51"/>
    <n v="1906.64"/>
    <s v="New"/>
    <n v="0.13"/>
    <s v="Bank Transfer"/>
    <s v="Online"/>
    <s v="East-Bob"/>
    <n v="8551.8100000000049"/>
  </r>
  <r>
    <n v="1056"/>
    <d v="2023-05-17T00:00:00"/>
    <s v="David"/>
    <s v="West"/>
    <n v="8374.68"/>
    <n v="47"/>
    <x v="0"/>
    <n v="2461.6999999999998"/>
    <n v="2529.02"/>
    <s v="Returning"/>
    <n v="0.22"/>
    <s v="Cash"/>
    <s v="Retail"/>
    <s v="West-David"/>
    <n v="3164.0400000000077"/>
  </r>
  <r>
    <n v="1017"/>
    <d v="2023-07-21T00:00:00"/>
    <s v="David"/>
    <s v="East"/>
    <n v="3388.69"/>
    <n v="1"/>
    <x v="1"/>
    <n v="172.59"/>
    <n v="404.69"/>
    <s v="Returning"/>
    <n v="0.28999999999999998"/>
    <s v="Bank Transfer"/>
    <s v="Online"/>
    <s v="East-David"/>
    <n v="232.1"/>
  </r>
  <r>
    <n v="1038"/>
    <d v="2023-11-09T00:00:00"/>
    <s v="David"/>
    <s v="East"/>
    <n v="6966.82"/>
    <n v="1"/>
    <x v="1"/>
    <n v="1281.6500000000001"/>
    <n v="1709.71"/>
    <s v="Returning"/>
    <n v="0.14000000000000001"/>
    <s v="Credit Card"/>
    <s v="Online"/>
    <s v="East-David"/>
    <n v="428.05999999999995"/>
  </r>
  <r>
    <n v="1024"/>
    <d v="2023-04-27T00:00:00"/>
    <s v="Alice"/>
    <s v="West"/>
    <n v="7734.12"/>
    <n v="42"/>
    <x v="1"/>
    <n v="2069.0500000000002"/>
    <n v="2363.9"/>
    <s v="Returning"/>
    <n v="7.0000000000000007E-2"/>
    <s v="Cash"/>
    <s v="Online"/>
    <s v="West-Alice"/>
    <n v="12383.699999999997"/>
  </r>
  <r>
    <n v="1069"/>
    <d v="2023-06-03T00:00:00"/>
    <s v="David"/>
    <s v="West"/>
    <n v="6581.04"/>
    <n v="42"/>
    <x v="2"/>
    <n v="1434.2"/>
    <n v="1482.88"/>
    <s v="New"/>
    <n v="0.28000000000000003"/>
    <s v="Credit Card"/>
    <s v="Retail"/>
    <s v="West-David"/>
    <n v="2044.5600000000027"/>
  </r>
  <r>
    <n v="1098"/>
    <d v="2023-10-18T00:00:00"/>
    <s v="Eve"/>
    <s v="West"/>
    <n v="1600.79"/>
    <n v="21"/>
    <x v="0"/>
    <n v="725.03"/>
    <n v="828.95"/>
    <s v="New"/>
    <n v="0.18"/>
    <s v="Bank Transfer"/>
    <s v="Online"/>
    <s v="West-Eve"/>
    <n v="2182.3200000000015"/>
  </r>
  <r>
    <n v="1070"/>
    <d v="2023-03-04T00:00:00"/>
    <s v="Bob"/>
    <s v="South"/>
    <n v="8771.24"/>
    <n v="15"/>
    <x v="3"/>
    <n v="3653.66"/>
    <n v="3896.19"/>
    <s v="New"/>
    <n v="0.03"/>
    <s v="Credit Card"/>
    <s v="Retail"/>
    <s v="South-Bob"/>
    <n v="3637.950000000003"/>
  </r>
  <r>
    <n v="1086"/>
    <d v="2023-09-01T00:00:00"/>
    <s v="Charlie"/>
    <s v="West"/>
    <n v="5437.04"/>
    <n v="17"/>
    <x v="3"/>
    <n v="4075.08"/>
    <n v="4262.21"/>
    <s v="New"/>
    <n v="0.17"/>
    <s v="Cash"/>
    <s v="Online"/>
    <s v="West-Charlie"/>
    <n v="3181.2100000000019"/>
  </r>
  <r>
    <n v="1011"/>
    <d v="2023-01-25T00:00:00"/>
    <s v="Eve"/>
    <s v="North"/>
    <n v="2896.48"/>
    <n v="22"/>
    <x v="3"/>
    <n v="1324.52"/>
    <n v="1510.3"/>
    <s v="Returning"/>
    <n v="0.15"/>
    <s v="Cash"/>
    <s v="Retail"/>
    <s v="North-Eve"/>
    <n v="4087.1599999999994"/>
  </r>
  <r>
    <n v="1016"/>
    <d v="2023-03-31T00:00:00"/>
    <s v="Eve"/>
    <s v="East"/>
    <n v="4309.76"/>
    <n v="38"/>
    <x v="3"/>
    <n v="3883.38"/>
    <n v="4152.72"/>
    <s v="Returning"/>
    <n v="0.26"/>
    <s v="Cash"/>
    <s v="Online"/>
    <s v="East-Eve"/>
    <n v="10234.920000000006"/>
  </r>
  <r>
    <n v="1097"/>
    <d v="2023-03-16T00:00:00"/>
    <s v="David"/>
    <s v="South"/>
    <n v="471.95"/>
    <n v="35"/>
    <x v="1"/>
    <n v="1958.49"/>
    <n v="2254.84"/>
    <s v="New"/>
    <n v="0.16"/>
    <s v="Credit Card"/>
    <s v="Online"/>
    <s v="South-David"/>
    <n v="10372.250000000005"/>
  </r>
  <r>
    <n v="1073"/>
    <d v="2023-10-21T00:00:00"/>
    <s v="Alice"/>
    <s v="West"/>
    <n v="1365.88"/>
    <n v="45"/>
    <x v="0"/>
    <n v="2558.09"/>
    <n v="2958.55"/>
    <s v="New"/>
    <n v="0.08"/>
    <s v="Cash"/>
    <s v="Online"/>
    <s v="West-Alice"/>
    <n v="18020.7"/>
  </r>
  <r>
    <n v="1059"/>
    <d v="2023-07-29T00:00:00"/>
    <s v="Bob"/>
    <s v="South"/>
    <n v="7678.91"/>
    <n v="16"/>
    <x v="0"/>
    <n v="4287.21"/>
    <n v="4464.28"/>
    <s v="Returning"/>
    <n v="0.2"/>
    <s v="Credit Card"/>
    <s v="Retail"/>
    <s v="South-Bob"/>
    <n v="2833.1199999999953"/>
  </r>
  <r>
    <n v="1070"/>
    <d v="2023-12-13T00:00:00"/>
    <s v="Alice"/>
    <s v="West"/>
    <n v="100.12"/>
    <n v="8"/>
    <x v="2"/>
    <n v="3762.27"/>
    <n v="4166.95"/>
    <s v="Returning"/>
    <n v="0.16"/>
    <s v="Bank Transfer"/>
    <s v="Online"/>
    <s v="West-Alice"/>
    <n v="3237.4399999999987"/>
  </r>
  <r>
    <n v="1080"/>
    <d v="2023-01-17T00:00:00"/>
    <s v="Bob"/>
    <s v="South"/>
    <n v="4224"/>
    <n v="47"/>
    <x v="0"/>
    <n v="4035.33"/>
    <n v="4211.25"/>
    <s v="Returning"/>
    <n v="7.0000000000000007E-2"/>
    <s v="Bank Transfer"/>
    <s v="Online"/>
    <s v="South-Bob"/>
    <n v="8268.2400000000034"/>
  </r>
  <r>
    <n v="1093"/>
    <d v="2023-05-08T00:00:00"/>
    <s v="Bob"/>
    <s v="East"/>
    <n v="5272.85"/>
    <n v="17"/>
    <x v="0"/>
    <n v="727.38"/>
    <n v="764.54"/>
    <s v="Returning"/>
    <n v="0.17"/>
    <s v="Credit Card"/>
    <s v="Retail"/>
    <s v="East-Bob"/>
    <n v="631.71999999999946"/>
  </r>
  <r>
    <n v="1003"/>
    <d v="2023-12-30T00:00:00"/>
    <s v="Alice"/>
    <s v="East"/>
    <n v="640.88"/>
    <n v="17"/>
    <x v="0"/>
    <n v="395.11"/>
    <n v="676.66"/>
    <s v="Returning"/>
    <n v="0.25"/>
    <s v="Cash"/>
    <s v="Retail"/>
    <s v="East-Alice"/>
    <n v="4786.3499999999995"/>
  </r>
  <r>
    <n v="1020"/>
    <d v="2023-09-08T00:00:00"/>
    <s v="Eve"/>
    <s v="North"/>
    <n v="9733.4699999999993"/>
    <n v="26"/>
    <x v="2"/>
    <n v="4472.3500000000004"/>
    <n v="4770.42"/>
    <s v="New"/>
    <n v="0.01"/>
    <s v="Credit Card"/>
    <s v="Retail"/>
    <s v="North-Eve"/>
    <n v="7749.8199999999924"/>
  </r>
  <r>
    <n v="1059"/>
    <d v="2023-06-28T00:00:00"/>
    <s v="Bob"/>
    <s v="North"/>
    <n v="2338.64"/>
    <n v="13"/>
    <x v="3"/>
    <n v="1969.78"/>
    <n v="2437.6999999999998"/>
    <s v="New"/>
    <n v="0.19"/>
    <s v="Credit Card"/>
    <s v="Retail"/>
    <s v="North-Bob"/>
    <n v="6082.9599999999982"/>
  </r>
  <r>
    <n v="1036"/>
    <d v="2023-07-01T00:00:00"/>
    <s v="Alice"/>
    <s v="West"/>
    <n v="3111.57"/>
    <n v="17"/>
    <x v="0"/>
    <n v="1475"/>
    <n v="1840.77"/>
    <s v="Returning"/>
    <n v="0.1"/>
    <s v="Credit Card"/>
    <s v="Online"/>
    <s v="West-Alice"/>
    <n v="6218.09"/>
  </r>
  <r>
    <n v="1019"/>
    <d v="2023-06-01T00:00:00"/>
    <s v="Bob"/>
    <s v="East"/>
    <n v="3109.03"/>
    <n v="38"/>
    <x v="2"/>
    <n v="3637.25"/>
    <n v="4096.96"/>
    <s v="Returning"/>
    <n v="0.09"/>
    <s v="Bank Transfer"/>
    <s v="Online"/>
    <s v="East-Bob"/>
    <n v="17468.980000000003"/>
  </r>
  <r>
    <n v="1090"/>
    <d v="2023-01-25T00:00:00"/>
    <s v="Charlie"/>
    <s v="South"/>
    <n v="2381.12"/>
    <n v="17"/>
    <x v="2"/>
    <n v="4190.26"/>
    <n v="4645.3500000000004"/>
    <s v="New"/>
    <n v="0.12"/>
    <s v="Credit Card"/>
    <s v="Retail"/>
    <s v="South-Charlie"/>
    <n v="7736.5300000000025"/>
  </r>
  <r>
    <n v="1067"/>
    <d v="2023-06-29T00:00:00"/>
    <s v="Eve"/>
    <s v="South"/>
    <n v="114.59"/>
    <n v="48"/>
    <x v="1"/>
    <n v="4319.32"/>
    <n v="4625.5600000000004"/>
    <s v="Returning"/>
    <n v="0.1"/>
    <s v="Bank Transfer"/>
    <s v="Online"/>
    <s v="South-Eve"/>
    <n v="14699.520000000033"/>
  </r>
  <r>
    <n v="1019"/>
    <d v="2023-07-17T00:00:00"/>
    <s v="David"/>
    <s v="South"/>
    <n v="7320.51"/>
    <n v="14"/>
    <x v="2"/>
    <n v="1614.19"/>
    <n v="1882.79"/>
    <s v="New"/>
    <n v="0.25"/>
    <s v="Credit Card"/>
    <s v="Retail"/>
    <s v="South-David"/>
    <n v="3760.3999999999987"/>
  </r>
  <r>
    <n v="1020"/>
    <d v="2023-12-10T00:00:00"/>
    <s v="Bob"/>
    <s v="North"/>
    <n v="9671.77"/>
    <n v="45"/>
    <x v="3"/>
    <n v="4268.45"/>
    <n v="4551.6000000000004"/>
    <s v="New"/>
    <n v="0.08"/>
    <s v="Bank Transfer"/>
    <s v="Online"/>
    <s v="North-Bob"/>
    <n v="12741.750000000025"/>
  </r>
  <r>
    <n v="1096"/>
    <d v="2023-06-10T00:00:00"/>
    <s v="Charlie"/>
    <s v="South"/>
    <n v="2320.5100000000002"/>
    <n v="6"/>
    <x v="0"/>
    <n v="252.62"/>
    <n v="742"/>
    <s v="New"/>
    <n v="0.22"/>
    <s v="Credit Card"/>
    <s v="Retail"/>
    <s v="South-Charlie"/>
    <n v="2936.2799999999997"/>
  </r>
  <r>
    <n v="1071"/>
    <d v="2023-06-26T00:00:00"/>
    <s v="David"/>
    <s v="North"/>
    <n v="6664.17"/>
    <n v="35"/>
    <x v="2"/>
    <n v="295.82"/>
    <n v="684.67"/>
    <s v="New"/>
    <n v="0.03"/>
    <s v="Credit Card"/>
    <s v="Online"/>
    <s v="North-David"/>
    <n v="13609.749999999998"/>
  </r>
  <r>
    <n v="1052"/>
    <d v="2023-10-12T00:00:00"/>
    <s v="David"/>
    <s v="North"/>
    <n v="7444.77"/>
    <n v="46"/>
    <x v="3"/>
    <n v="3136.42"/>
    <n v="3198.49"/>
    <s v="Returning"/>
    <n v="0.28999999999999998"/>
    <s v="Cash"/>
    <s v="Retail"/>
    <s v="North-David"/>
    <n v="2855.2199999999866"/>
  </r>
  <r>
    <n v="1033"/>
    <d v="2023-03-04T00:00:00"/>
    <s v="Bob"/>
    <s v="West"/>
    <n v="8499.41"/>
    <n v="14"/>
    <x v="2"/>
    <n v="362.38"/>
    <n v="753.81"/>
    <s v="Returning"/>
    <n v="0.19"/>
    <s v="Cash"/>
    <s v="Retail"/>
    <s v="West-Bob"/>
    <n v="5480.0199999999995"/>
  </r>
  <r>
    <n v="1040"/>
    <d v="2023-05-30T00:00:00"/>
    <s v="Alice"/>
    <s v="South"/>
    <n v="4284.03"/>
    <n v="47"/>
    <x v="2"/>
    <n v="1656.82"/>
    <n v="1750.38"/>
    <s v="New"/>
    <n v="0.21"/>
    <s v="Credit Card"/>
    <s v="Online"/>
    <s v="South-Alice"/>
    <n v="4397.3200000000079"/>
  </r>
  <r>
    <n v="1039"/>
    <d v="2023-06-03T00:00:00"/>
    <s v="Bob"/>
    <s v="South"/>
    <n v="3099.02"/>
    <n v="8"/>
    <x v="2"/>
    <n v="3380.14"/>
    <n v="3609.34"/>
    <s v="Returning"/>
    <n v="0.09"/>
    <s v="Credit Card"/>
    <s v="Online"/>
    <s v="South-Bob"/>
    <n v="1833.6000000000022"/>
  </r>
  <r>
    <n v="1082"/>
    <d v="2023-06-05T00:00:00"/>
    <s v="Charlie"/>
    <s v="East"/>
    <n v="3320.42"/>
    <n v="15"/>
    <x v="2"/>
    <n v="1719.47"/>
    <n v="1832.6"/>
    <s v="Returning"/>
    <n v="0.12"/>
    <s v="Credit Card"/>
    <s v="Online"/>
    <s v="East-Charlie"/>
    <n v="1696.9499999999982"/>
  </r>
  <r>
    <n v="1001"/>
    <d v="2023-02-18T00:00:00"/>
    <s v="David"/>
    <s v="West"/>
    <n v="7154.95"/>
    <n v="27"/>
    <x v="2"/>
    <n v="939.02"/>
    <n v="1286.92"/>
    <s v="Returning"/>
    <n v="7.0000000000000007E-2"/>
    <s v="Credit Card"/>
    <s v="Retail"/>
    <s v="West-David"/>
    <n v="9393.3000000000029"/>
  </r>
  <r>
    <n v="1011"/>
    <d v="2023-12-03T00:00:00"/>
    <s v="Bob"/>
    <s v="East"/>
    <n v="8186.12"/>
    <n v="13"/>
    <x v="3"/>
    <n v="1442.69"/>
    <n v="1882.57"/>
    <s v="Returning"/>
    <n v="0.28000000000000003"/>
    <s v="Cash"/>
    <s v="Online"/>
    <s v="East-Bob"/>
    <n v="5718.4399999999987"/>
  </r>
  <r>
    <n v="1092"/>
    <d v="2023-03-25T00:00:00"/>
    <s v="Alice"/>
    <s v="West"/>
    <n v="1897.98"/>
    <n v="49"/>
    <x v="0"/>
    <n v="2315"/>
    <n v="2467.2800000000002"/>
    <s v="New"/>
    <n v="0.15"/>
    <s v="Bank Transfer"/>
    <s v="Retail"/>
    <s v="West-Alice"/>
    <n v="7461.7200000000103"/>
  </r>
  <r>
    <n v="1057"/>
    <d v="2023-12-27T00:00:00"/>
    <s v="Bob"/>
    <s v="South"/>
    <n v="3772.32"/>
    <n v="31"/>
    <x v="0"/>
    <n v="2403.16"/>
    <n v="2453.35"/>
    <s v="Returning"/>
    <n v="0.19"/>
    <s v="Credit Card"/>
    <s v="Online"/>
    <s v="South-Bob"/>
    <n v="1555.8900000000017"/>
  </r>
  <r>
    <n v="1089"/>
    <d v="2023-06-26T00:00:00"/>
    <s v="Eve"/>
    <s v="North"/>
    <n v="9029.2099999999991"/>
    <n v="35"/>
    <x v="0"/>
    <n v="3925.85"/>
    <n v="4082.11"/>
    <s v="New"/>
    <n v="0.22"/>
    <s v="Cash"/>
    <s v="Online"/>
    <s v="North-Eve"/>
    <n v="5469.1000000000076"/>
  </r>
  <r>
    <n v="1050"/>
    <d v="2023-05-28T00:00:00"/>
    <s v="Alice"/>
    <s v="North"/>
    <n v="8086.27"/>
    <n v="6"/>
    <x v="0"/>
    <n v="3763.26"/>
    <n v="4102.72"/>
    <s v="New"/>
    <n v="0.11"/>
    <s v="Credit Card"/>
    <s v="Retail"/>
    <s v="North-Alice"/>
    <n v="2036.7600000000002"/>
  </r>
  <r>
    <n v="1023"/>
    <d v="2023-04-28T00:00:00"/>
    <s v="Charlie"/>
    <s v="North"/>
    <n v="9850.1"/>
    <n v="5"/>
    <x v="3"/>
    <n v="2311.25"/>
    <n v="2482.34"/>
    <s v="Returning"/>
    <n v="0.22"/>
    <s v="Credit Card"/>
    <s v="Retail"/>
    <s v="North-Charlie"/>
    <n v="855.45000000000073"/>
  </r>
  <r>
    <n v="1031"/>
    <d v="2023-12-08T00:00:00"/>
    <s v="David"/>
    <s v="North"/>
    <n v="7567.06"/>
    <n v="22"/>
    <x v="1"/>
    <n v="4236.05"/>
    <n v="4382.32"/>
    <s v="New"/>
    <n v="0.2"/>
    <s v="Bank Transfer"/>
    <s v="Online"/>
    <s v="North-David"/>
    <n v="3217.9399999999896"/>
  </r>
  <r>
    <n v="1094"/>
    <d v="2023-03-04T00:00:00"/>
    <s v="Bob"/>
    <s v="North"/>
    <n v="3992.63"/>
    <n v="49"/>
    <x v="1"/>
    <n v="615.47"/>
    <n v="715.84"/>
    <s v="Returning"/>
    <n v="0.21"/>
    <s v="Credit Card"/>
    <s v="Retail"/>
    <s v="North-Bob"/>
    <n v="4918.13"/>
  </r>
  <r>
    <n v="1042"/>
    <d v="2023-07-08T00:00:00"/>
    <s v="Alice"/>
    <s v="East"/>
    <n v="5947.31"/>
    <n v="23"/>
    <x v="3"/>
    <n v="1314"/>
    <n v="1567.78"/>
    <s v="Returning"/>
    <n v="0.15"/>
    <s v="Credit Card"/>
    <s v="Retail"/>
    <s v="East-Alice"/>
    <n v="5836.94"/>
  </r>
  <r>
    <n v="1099"/>
    <d v="2023-12-26T00:00:00"/>
    <s v="Eve"/>
    <s v="West"/>
    <n v="6644.04"/>
    <n v="25"/>
    <x v="3"/>
    <n v="4148.4799999999996"/>
    <n v="4293.6899999999996"/>
    <s v="New"/>
    <n v="0.11"/>
    <s v="Bank Transfer"/>
    <s v="Online"/>
    <s v="West-Eve"/>
    <n v="3630.2500000000009"/>
  </r>
  <r>
    <n v="1007"/>
    <d v="2023-02-18T00:00:00"/>
    <s v="Alice"/>
    <s v="South"/>
    <n v="876.71"/>
    <n v="34"/>
    <x v="2"/>
    <n v="1921.07"/>
    <n v="2289.27"/>
    <s v="Returning"/>
    <n v="7.0000000000000007E-2"/>
    <s v="Bank Transfer"/>
    <s v="Retail"/>
    <s v="South-Alice"/>
    <n v="12518.800000000001"/>
  </r>
  <r>
    <n v="1016"/>
    <d v="2023-11-23T00:00:00"/>
    <s v="Eve"/>
    <s v="East"/>
    <n v="5490.52"/>
    <n v="26"/>
    <x v="2"/>
    <n v="4906.8500000000004"/>
    <n v="4954.3900000000003"/>
    <s v="New"/>
    <n v="0.25"/>
    <s v="Bank Transfer"/>
    <s v="Online"/>
    <s v="East-Eve"/>
    <n v="1236.0399999999991"/>
  </r>
  <r>
    <n v="1090"/>
    <d v="2023-09-14T00:00:00"/>
    <s v="Charlie"/>
    <s v="West"/>
    <n v="7122.28"/>
    <n v="47"/>
    <x v="2"/>
    <n v="2357.9499999999998"/>
    <n v="2693.33"/>
    <s v="New"/>
    <n v="0.18"/>
    <s v="Bank Transfer"/>
    <s v="Online"/>
    <s v="West-Charlie"/>
    <n v="15762.860000000004"/>
  </r>
  <r>
    <n v="1060"/>
    <d v="2023-08-12T00:00:00"/>
    <s v="David"/>
    <s v="North"/>
    <n v="1756.48"/>
    <n v="5"/>
    <x v="0"/>
    <n v="3970.08"/>
    <n v="4096.4799999999996"/>
    <s v="Returning"/>
    <n v="0.13"/>
    <s v="Cash"/>
    <s v="Retail"/>
    <s v="North-David"/>
    <n v="631.99999999999818"/>
  </r>
  <r>
    <n v="1002"/>
    <d v="2023-05-21T00:00:00"/>
    <s v="Charlie"/>
    <s v="West"/>
    <n v="7828.25"/>
    <n v="26"/>
    <x v="2"/>
    <n v="2041.42"/>
    <n v="2291.17"/>
    <s v="Returning"/>
    <n v="0.28000000000000003"/>
    <s v="Cash"/>
    <s v="Online"/>
    <s v="West-Charlie"/>
    <n v="6493.5"/>
  </r>
  <r>
    <n v="1001"/>
    <d v="2023-08-03T00:00:00"/>
    <s v="Bob"/>
    <s v="West"/>
    <n v="5879.35"/>
    <n v="20"/>
    <x v="1"/>
    <n v="2153.52"/>
    <n v="2303.6999999999998"/>
    <s v="Returning"/>
    <n v="0.01"/>
    <s v="Cash"/>
    <s v="Retail"/>
    <s v="West-Bob"/>
    <n v="3003.5999999999967"/>
  </r>
  <r>
    <n v="1048"/>
    <d v="2023-07-30T00:00:00"/>
    <s v="Alice"/>
    <s v="North"/>
    <n v="9527"/>
    <n v="6"/>
    <x v="0"/>
    <n v="1945.27"/>
    <n v="2309.4299999999998"/>
    <s v="New"/>
    <n v="0.26"/>
    <s v="Credit Card"/>
    <s v="Online"/>
    <s v="North-Alice"/>
    <n v="2184.9599999999991"/>
  </r>
  <r>
    <n v="1012"/>
    <d v="2023-11-14T00:00:00"/>
    <s v="Eve"/>
    <s v="North"/>
    <n v="519.98"/>
    <n v="6"/>
    <x v="2"/>
    <n v="3609.42"/>
    <n v="4082.62"/>
    <s v="Returning"/>
    <n v="0.3"/>
    <s v="Bank Transfer"/>
    <s v="Retail"/>
    <s v="North-Eve"/>
    <n v="2839.1999999999989"/>
  </r>
  <r>
    <n v="1069"/>
    <d v="2023-02-01T00:00:00"/>
    <s v="Eve"/>
    <s v="North"/>
    <n v="2726.73"/>
    <n v="18"/>
    <x v="0"/>
    <n v="2760.21"/>
    <n v="3219.58"/>
    <s v="New"/>
    <n v="0.27"/>
    <s v="Bank Transfer"/>
    <s v="Retail"/>
    <s v="North-Eve"/>
    <n v="8268.659999999998"/>
  </r>
  <r>
    <n v="1037"/>
    <d v="2023-06-07T00:00:00"/>
    <s v="Alice"/>
    <s v="South"/>
    <n v="6055.38"/>
    <n v="4"/>
    <x v="1"/>
    <n v="4721.7"/>
    <n v="5017.58"/>
    <s v="New"/>
    <n v="0.24"/>
    <s v="Cash"/>
    <s v="Retail"/>
    <s v="South-Alice"/>
    <n v="1183.5200000000004"/>
  </r>
  <r>
    <n v="1032"/>
    <d v="2023-10-12T00:00:00"/>
    <s v="Alice"/>
    <s v="North"/>
    <n v="3035.94"/>
    <n v="17"/>
    <x v="2"/>
    <n v="1291.9100000000001"/>
    <n v="1528.59"/>
    <s v="Returning"/>
    <n v="0.11"/>
    <s v="Credit Card"/>
    <s v="Retail"/>
    <s v="North-Alice"/>
    <n v="4023.5599999999972"/>
  </r>
  <r>
    <n v="1009"/>
    <d v="2023-11-01T00:00:00"/>
    <s v="Bob"/>
    <s v="South"/>
    <n v="7172.8"/>
    <n v="14"/>
    <x v="1"/>
    <n v="547.79"/>
    <n v="958.76"/>
    <s v="Returning"/>
    <n v="7.0000000000000007E-2"/>
    <s v="Credit Card"/>
    <s v="Retail"/>
    <s v="South-Bob"/>
    <n v="5753.58"/>
  </r>
  <r>
    <n v="1099"/>
    <d v="2023-10-13T00:00:00"/>
    <s v="Charlie"/>
    <s v="North"/>
    <n v="7614.15"/>
    <n v="14"/>
    <x v="1"/>
    <n v="1996.64"/>
    <n v="2341.4699999999998"/>
    <s v="Returning"/>
    <n v="0.22"/>
    <s v="Credit Card"/>
    <s v="Online"/>
    <s v="North-Charlie"/>
    <n v="4827.6199999999953"/>
  </r>
  <r>
    <n v="1019"/>
    <d v="2023-05-24T00:00:00"/>
    <s v="Eve"/>
    <s v="South"/>
    <n v="1114.9100000000001"/>
    <n v="13"/>
    <x v="1"/>
    <n v="3102.73"/>
    <n v="3202.68"/>
    <s v="New"/>
    <n v="0.09"/>
    <s v="Cash"/>
    <s v="Online"/>
    <s v="South-Eve"/>
    <n v="1299.3499999999976"/>
  </r>
  <r>
    <n v="1048"/>
    <d v="2023-01-19T00:00:00"/>
    <s v="Bob"/>
    <s v="West"/>
    <n v="5187.16"/>
    <n v="7"/>
    <x v="2"/>
    <n v="4310.95"/>
    <n v="4723.2"/>
    <s v="Returning"/>
    <n v="0.05"/>
    <s v="Credit Card"/>
    <s v="Retail"/>
    <s v="West-Bob"/>
    <n v="2885.75"/>
  </r>
  <r>
    <n v="1080"/>
    <d v="2023-01-18T00:00:00"/>
    <s v="Charlie"/>
    <s v="East"/>
    <n v="5138.0200000000004"/>
    <n v="44"/>
    <x v="3"/>
    <n v="1763.67"/>
    <n v="1983.82"/>
    <s v="New"/>
    <n v="0.24"/>
    <s v="Credit Card"/>
    <s v="Online"/>
    <s v="East-Charlie"/>
    <n v="9686.5999999999949"/>
  </r>
  <r>
    <n v="1003"/>
    <d v="2023-09-14T00:00:00"/>
    <s v="Bob"/>
    <s v="West"/>
    <n v="3755.88"/>
    <n v="15"/>
    <x v="2"/>
    <n v="3286.24"/>
    <n v="3388.84"/>
    <s v="Returning"/>
    <n v="0.09"/>
    <s v="Credit Card"/>
    <s v="Retail"/>
    <s v="West-Bob"/>
    <n v="1539.0000000000055"/>
  </r>
  <r>
    <n v="1020"/>
    <d v="2023-03-19T00:00:00"/>
    <s v="Eve"/>
    <s v="West"/>
    <n v="9335.9599999999991"/>
    <n v="19"/>
    <x v="1"/>
    <n v="1783.48"/>
    <n v="1931.56"/>
    <s v="Returning"/>
    <n v="0.27"/>
    <s v="Bank Transfer"/>
    <s v="Retail"/>
    <s v="West-Eve"/>
    <n v="2813.5199999999986"/>
  </r>
  <r>
    <n v="1024"/>
    <d v="2023-06-24T00:00:00"/>
    <s v="Alice"/>
    <s v="North"/>
    <n v="8292.31"/>
    <n v="43"/>
    <x v="2"/>
    <n v="3105.24"/>
    <n v="3246.33"/>
    <s v="New"/>
    <n v="0.25"/>
    <s v="Cash"/>
    <s v="Online"/>
    <s v="North-Alice"/>
    <n v="6066.8700000000063"/>
  </r>
  <r>
    <n v="1054"/>
    <d v="2023-07-13T00:00:00"/>
    <s v="Alice"/>
    <s v="South"/>
    <n v="7002.37"/>
    <n v="47"/>
    <x v="1"/>
    <n v="4429.8"/>
    <n v="4694.21"/>
    <s v="New"/>
    <n v="0.25"/>
    <s v="Bank Transfer"/>
    <s v="Online"/>
    <s v="South-Alice"/>
    <n v="12427.269999999993"/>
  </r>
  <r>
    <n v="1033"/>
    <d v="2023-04-23T00:00:00"/>
    <s v="Charlie"/>
    <s v="East"/>
    <n v="7171.83"/>
    <n v="44"/>
    <x v="3"/>
    <n v="1195.22"/>
    <n v="1320.06"/>
    <s v="Returning"/>
    <n v="0.23"/>
    <s v="Bank Transfer"/>
    <s v="Retail"/>
    <s v="East-Charlie"/>
    <n v="5492.9599999999964"/>
  </r>
  <r>
    <n v="1024"/>
    <d v="2023-04-24T00:00:00"/>
    <s v="David"/>
    <s v="North"/>
    <n v="4670.99"/>
    <n v="35"/>
    <x v="0"/>
    <n v="2051"/>
    <n v="2121.5500000000002"/>
    <s v="Returning"/>
    <n v="0.26"/>
    <s v="Cash"/>
    <s v="Retail"/>
    <s v="North-David"/>
    <n v="2469.2500000000064"/>
  </r>
  <r>
    <n v="1075"/>
    <d v="2023-08-10T00:00:00"/>
    <s v="Charlie"/>
    <s v="North"/>
    <n v="9217.85"/>
    <n v="17"/>
    <x v="3"/>
    <n v="4966.66"/>
    <n v="5037.2700000000004"/>
    <s v="Returning"/>
    <n v="0.24"/>
    <s v="Bank Transfer"/>
    <s v="Retail"/>
    <s v="North-Charlie"/>
    <n v="1200.3700000000099"/>
  </r>
  <r>
    <n v="1072"/>
    <d v="2023-06-15T00:00:00"/>
    <s v="David"/>
    <s v="North"/>
    <n v="6976.49"/>
    <n v="35"/>
    <x v="3"/>
    <n v="4349.3599999999997"/>
    <n v="4645.17"/>
    <s v="Returning"/>
    <n v="0.18"/>
    <s v="Credit Card"/>
    <s v="Retail"/>
    <s v="North-David"/>
    <n v="10353.350000000013"/>
  </r>
  <r>
    <n v="1036"/>
    <d v="2023-11-15T00:00:00"/>
    <s v="Bob"/>
    <s v="West"/>
    <n v="7316.91"/>
    <n v="19"/>
    <x v="0"/>
    <n v="2844.97"/>
    <n v="3215"/>
    <s v="Returning"/>
    <n v="0.09"/>
    <s v="Credit Card"/>
    <s v="Retail"/>
    <s v="West-Bob"/>
    <n v="7030.5700000000033"/>
  </r>
  <r>
    <n v="1038"/>
    <d v="2023-05-12T00:00:00"/>
    <s v="Bob"/>
    <s v="South"/>
    <n v="8630.74"/>
    <n v="20"/>
    <x v="2"/>
    <n v="2607.31"/>
    <n v="2774.86"/>
    <s v="New"/>
    <n v="0.27"/>
    <s v="Credit Card"/>
    <s v="Retail"/>
    <s v="South-Bob"/>
    <n v="3351.0000000000036"/>
  </r>
  <r>
    <n v="1084"/>
    <d v="2023-09-21T00:00:00"/>
    <s v="Eve"/>
    <s v="South"/>
    <n v="2813.31"/>
    <n v="36"/>
    <x v="0"/>
    <n v="1458.77"/>
    <n v="1485.75"/>
    <s v="New"/>
    <n v="0.25"/>
    <s v="Credit Card"/>
    <s v="Online"/>
    <s v="South-Eve"/>
    <n v="971.28000000000065"/>
  </r>
  <r>
    <n v="1099"/>
    <d v="2023-02-24T00:00:00"/>
    <s v="David"/>
    <s v="East"/>
    <n v="8090"/>
    <n v="35"/>
    <x v="2"/>
    <n v="2610.19"/>
    <n v="2682.53"/>
    <s v="New"/>
    <n v="0.14000000000000001"/>
    <s v="Cash"/>
    <s v="Retail"/>
    <s v="East-David"/>
    <n v="2531.9000000000051"/>
  </r>
  <r>
    <n v="1089"/>
    <d v="2023-12-25T00:00:00"/>
    <s v="Eve"/>
    <s v="South"/>
    <n v="2032.88"/>
    <n v="32"/>
    <x v="2"/>
    <n v="4248.5"/>
    <n v="4706.7"/>
    <s v="New"/>
    <n v="0.01"/>
    <s v="Bank Transfer"/>
    <s v="Retail"/>
    <s v="South-Eve"/>
    <n v="14662.399999999994"/>
  </r>
  <r>
    <n v="1099"/>
    <d v="2023-05-11T00:00:00"/>
    <s v="Alice"/>
    <s v="South"/>
    <n v="3518.89"/>
    <n v="48"/>
    <x v="1"/>
    <n v="3441.61"/>
    <n v="3693.45"/>
    <s v="Returning"/>
    <n v="0.19"/>
    <s v="Bank Transfer"/>
    <s v="Online"/>
    <s v="South-Alice"/>
    <n v="12088.319999999985"/>
  </r>
  <r>
    <n v="1025"/>
    <d v="2023-10-15T00:00:00"/>
    <s v="David"/>
    <s v="North"/>
    <n v="3422.54"/>
    <n v="44"/>
    <x v="1"/>
    <n v="1485.72"/>
    <n v="1717.97"/>
    <s v="New"/>
    <n v="0.02"/>
    <s v="Credit Card"/>
    <s v="Retail"/>
    <s v="North-David"/>
    <n v="10219"/>
  </r>
  <r>
    <n v="1093"/>
    <d v="2023-09-23T00:00:00"/>
    <s v="Charlie"/>
    <s v="North"/>
    <n v="9787.4"/>
    <n v="40"/>
    <x v="0"/>
    <n v="1047.25"/>
    <n v="1075.8900000000001"/>
    <s v="New"/>
    <n v="0.28000000000000003"/>
    <s v="Credit Card"/>
    <s v="Retail"/>
    <s v="North-Charlie"/>
    <n v="1145.600000000004"/>
  </r>
  <r>
    <n v="1018"/>
    <d v="2024-01-01T00:00:00"/>
    <s v="Alice"/>
    <s v="West"/>
    <n v="8579.7199999999993"/>
    <n v="24"/>
    <x v="3"/>
    <n v="1362.78"/>
    <n v="1729.81"/>
    <s v="New"/>
    <n v="0.28999999999999998"/>
    <s v="Bank Transfer"/>
    <s v="Online"/>
    <s v="West-Alice"/>
    <n v="8808.7199999999993"/>
  </r>
  <r>
    <n v="1082"/>
    <d v="2023-06-11T00:00:00"/>
    <s v="Alice"/>
    <s v="North"/>
    <n v="7041.58"/>
    <n v="17"/>
    <x v="0"/>
    <n v="890.31"/>
    <n v="1159.06"/>
    <s v="Returning"/>
    <n v="0.06"/>
    <s v="Cash"/>
    <s v="Retail"/>
    <s v="North-Alice"/>
    <n v="4568.75"/>
  </r>
  <r>
    <n v="1066"/>
    <d v="2023-03-28T00:00:00"/>
    <s v="Charlie"/>
    <s v="North"/>
    <n v="7297.86"/>
    <n v="7"/>
    <x v="2"/>
    <n v="523.41999999999996"/>
    <n v="632.44000000000005"/>
    <s v="New"/>
    <n v="0.2"/>
    <s v="Bank Transfer"/>
    <s v="Online"/>
    <s v="North-Charlie"/>
    <n v="763.14000000000067"/>
  </r>
  <r>
    <n v="1054"/>
    <d v="2023-02-24T00:00:00"/>
    <s v="Alice"/>
    <s v="North"/>
    <n v="5664.52"/>
    <n v="43"/>
    <x v="1"/>
    <n v="2124.7199999999998"/>
    <n v="2188.66"/>
    <s v="Returning"/>
    <n v="0.03"/>
    <s v="Credit Card"/>
    <s v="Retail"/>
    <s v="North-Alice"/>
    <n v="2749.4200000000023"/>
  </r>
  <r>
    <n v="1035"/>
    <d v="2023-10-15T00:00:00"/>
    <s v="David"/>
    <s v="North"/>
    <n v="9476.2000000000007"/>
    <n v="1"/>
    <x v="0"/>
    <n v="610.83000000000004"/>
    <n v="808.69"/>
    <s v="New"/>
    <n v="0.22"/>
    <s v="Credit Card"/>
    <s v="Online"/>
    <s v="North-David"/>
    <n v="197.86"/>
  </r>
  <r>
    <n v="1080"/>
    <d v="2023-06-27T00:00:00"/>
    <s v="Eve"/>
    <s v="West"/>
    <n v="5012.96"/>
    <n v="35"/>
    <x v="0"/>
    <n v="900.97"/>
    <n v="1321.18"/>
    <s v="Returning"/>
    <n v="0.1"/>
    <s v="Cash"/>
    <s v="Online"/>
    <s v="West-Eve"/>
    <n v="14707.350000000002"/>
  </r>
  <r>
    <n v="1061"/>
    <d v="2023-12-15T00:00:00"/>
    <s v="Alice"/>
    <s v="North"/>
    <n v="3867.13"/>
    <n v="32"/>
    <x v="1"/>
    <n v="2759.26"/>
    <n v="3193.25"/>
    <s v="New"/>
    <n v="0.2"/>
    <s v="Bank Transfer"/>
    <s v="Online"/>
    <s v="North-Alice"/>
    <n v="13887.679999999993"/>
  </r>
  <r>
    <n v="1041"/>
    <d v="2023-01-08T00:00:00"/>
    <s v="David"/>
    <s v="East"/>
    <n v="1714.05"/>
    <n v="36"/>
    <x v="1"/>
    <n v="864.77"/>
    <n v="1170.1600000000001"/>
    <s v="Returning"/>
    <n v="0.11"/>
    <s v="Cash"/>
    <s v="Retail"/>
    <s v="East-David"/>
    <n v="10994.040000000005"/>
  </r>
  <r>
    <n v="1100"/>
    <d v="2023-11-17T00:00:00"/>
    <s v="Bob"/>
    <s v="East"/>
    <n v="7883.44"/>
    <n v="13"/>
    <x v="1"/>
    <n v="366.2"/>
    <n v="732.69"/>
    <s v="New"/>
    <n v="0.04"/>
    <s v="Cash"/>
    <s v="Retail"/>
    <s v="East-Bob"/>
    <n v="4764.3700000000008"/>
  </r>
  <r>
    <n v="1033"/>
    <d v="2023-11-09T00:00:00"/>
    <s v="David"/>
    <s v="East"/>
    <n v="7370.99"/>
    <n v="6"/>
    <x v="2"/>
    <n v="1621.07"/>
    <n v="1687.5"/>
    <s v="Returning"/>
    <n v="0.12"/>
    <s v="Credit Card"/>
    <s v="Online"/>
    <s v="East-David"/>
    <n v="398.58000000000038"/>
  </r>
  <r>
    <n v="1068"/>
    <d v="2023-09-04T00:00:00"/>
    <s v="Eve"/>
    <s v="East"/>
    <n v="3905.11"/>
    <n v="14"/>
    <x v="1"/>
    <n v="1140.58"/>
    <n v="1438.76"/>
    <s v="Returning"/>
    <n v="0.03"/>
    <s v="Bank Transfer"/>
    <s v="Online"/>
    <s v="East-Eve"/>
    <n v="4174.5200000000004"/>
  </r>
  <r>
    <n v="1033"/>
    <d v="2023-11-19T00:00:00"/>
    <s v="David"/>
    <s v="North"/>
    <n v="349.41"/>
    <n v="37"/>
    <x v="3"/>
    <n v="2600.7600000000002"/>
    <n v="2937.57"/>
    <s v="New"/>
    <n v="0.17"/>
    <s v="Credit Card"/>
    <s v="Retail"/>
    <s v="North-David"/>
    <n v="12461.969999999998"/>
  </r>
  <r>
    <n v="1014"/>
    <d v="2023-09-12T00:00:00"/>
    <s v="Charlie"/>
    <s v="East"/>
    <n v="8406.07"/>
    <n v="48"/>
    <x v="0"/>
    <n v="556.72"/>
    <n v="665.07"/>
    <s v="Returning"/>
    <n v="0.01"/>
    <s v="Bank Transfer"/>
    <s v="Retail"/>
    <s v="East-Charlie"/>
    <n v="5200.8000000000011"/>
  </r>
  <r>
    <n v="1021"/>
    <d v="2023-11-24T00:00:00"/>
    <s v="Eve"/>
    <s v="North"/>
    <n v="213.04"/>
    <n v="15"/>
    <x v="1"/>
    <n v="3771.27"/>
    <n v="4212.55"/>
    <s v="Returning"/>
    <n v="0.16"/>
    <s v="Credit Card"/>
    <s v="Retail"/>
    <s v="North-Eve"/>
    <n v="6619.2000000000025"/>
  </r>
  <r>
    <n v="1048"/>
    <d v="2023-02-23T00:00:00"/>
    <s v="Bob"/>
    <s v="West"/>
    <n v="7066.63"/>
    <n v="47"/>
    <x v="1"/>
    <n v="4535.8599999999997"/>
    <n v="4641.41"/>
    <s v="New"/>
    <n v="0.27"/>
    <s v="Credit Card"/>
    <s v="Retail"/>
    <s v="West-Bob"/>
    <n v="4960.8500000000085"/>
  </r>
  <r>
    <n v="1020"/>
    <d v="2023-09-06T00:00:00"/>
    <s v="Charlie"/>
    <s v="East"/>
    <n v="9705.5499999999993"/>
    <n v="4"/>
    <x v="2"/>
    <n v="3730"/>
    <n v="3893.6"/>
    <s v="New"/>
    <n v="0.25"/>
    <s v="Bank Transfer"/>
    <s v="Retail"/>
    <s v="East-Charlie"/>
    <n v="654.39999999999964"/>
  </r>
  <r>
    <n v="1008"/>
    <d v="2023-08-27T00:00:00"/>
    <s v="David"/>
    <s v="South"/>
    <n v="4432.8500000000004"/>
    <n v="40"/>
    <x v="2"/>
    <n v="2687.49"/>
    <n v="3001.56"/>
    <s v="Returning"/>
    <n v="0.26"/>
    <s v="Bank Transfer"/>
    <s v="Online"/>
    <s v="South-David"/>
    <n v="12562.800000000007"/>
  </r>
  <r>
    <n v="1007"/>
    <d v="2023-08-17T00:00:00"/>
    <s v="Eve"/>
    <s v="East"/>
    <n v="2426.2399999999998"/>
    <n v="16"/>
    <x v="0"/>
    <n v="4310.3100000000004"/>
    <n v="4633.1000000000004"/>
    <s v="New"/>
    <n v="0.28000000000000003"/>
    <s v="Credit Card"/>
    <s v="Retail"/>
    <s v="East-Eve"/>
    <n v="5164.6399999999994"/>
  </r>
  <r>
    <n v="1067"/>
    <d v="2023-03-08T00:00:00"/>
    <s v="Bob"/>
    <s v="East"/>
    <n v="7078.22"/>
    <n v="28"/>
    <x v="3"/>
    <n v="3489.85"/>
    <n v="3842.55"/>
    <s v="New"/>
    <n v="0.03"/>
    <s v="Bank Transfer"/>
    <s v="Online"/>
    <s v="East-Bob"/>
    <n v="9875.6000000000076"/>
  </r>
  <r>
    <n v="1017"/>
    <d v="2023-02-20T00:00:00"/>
    <s v="Charlie"/>
    <s v="North"/>
    <n v="8189.57"/>
    <n v="16"/>
    <x v="0"/>
    <n v="102.23"/>
    <n v="167.12"/>
    <s v="New"/>
    <n v="0.04"/>
    <s v="Credit Card"/>
    <s v="Retail"/>
    <s v="North-Charlie"/>
    <n v="1038.24"/>
  </r>
  <r>
    <n v="1033"/>
    <d v="2023-04-07T00:00:00"/>
    <s v="Bob"/>
    <s v="East"/>
    <n v="5509.66"/>
    <n v="4"/>
    <x v="1"/>
    <n v="2000.75"/>
    <n v="2426.9899999999998"/>
    <s v="Returning"/>
    <n v="0.17"/>
    <s v="Bank Transfer"/>
    <s v="Online"/>
    <s v="East-Bob"/>
    <n v="1704.9599999999991"/>
  </r>
  <r>
    <n v="1048"/>
    <d v="2023-04-02T00:00:00"/>
    <s v="David"/>
    <s v="South"/>
    <n v="9673.65"/>
    <n v="45"/>
    <x v="3"/>
    <n v="4262.21"/>
    <n v="4533.3100000000004"/>
    <s v="Returning"/>
    <n v="0.27"/>
    <s v="Credit Card"/>
    <s v="Online"/>
    <s v="South-David"/>
    <n v="12199.500000000016"/>
  </r>
  <r>
    <n v="1076"/>
    <d v="2023-09-21T00:00:00"/>
    <s v="Bob"/>
    <s v="North"/>
    <n v="611.52"/>
    <n v="26"/>
    <x v="3"/>
    <n v="1762"/>
    <n v="2002.95"/>
    <s v="Returning"/>
    <n v="0.28999999999999998"/>
    <s v="Credit Card"/>
    <s v="Retail"/>
    <s v="North-Bob"/>
    <n v="6264.7000000000007"/>
  </r>
  <r>
    <n v="1059"/>
    <d v="2023-10-18T00:00:00"/>
    <s v="Alice"/>
    <s v="North"/>
    <n v="5097.4799999999996"/>
    <n v="28"/>
    <x v="3"/>
    <n v="224.32"/>
    <n v="715.06"/>
    <s v="Returning"/>
    <n v="0.01"/>
    <s v="Credit Card"/>
    <s v="Online"/>
    <s v="North-Alice"/>
    <n v="13740.72"/>
  </r>
  <r>
    <n v="1086"/>
    <d v="2023-04-06T00:00:00"/>
    <s v="Charlie"/>
    <s v="West"/>
    <n v="7212.69"/>
    <n v="32"/>
    <x v="3"/>
    <n v="3743.59"/>
    <n v="4116.38"/>
    <s v="Returning"/>
    <n v="0.11"/>
    <s v="Cash"/>
    <s v="Online"/>
    <s v="West-Charlie"/>
    <n v="11929.279999999999"/>
  </r>
  <r>
    <n v="1022"/>
    <d v="2023-03-29T00:00:00"/>
    <s v="Bob"/>
    <s v="West"/>
    <n v="8640.14"/>
    <n v="45"/>
    <x v="0"/>
    <n v="4020.09"/>
    <n v="4087.91"/>
    <s v="Returning"/>
    <n v="0.06"/>
    <s v="Bank Transfer"/>
    <s v="Online"/>
    <s v="West-Bob"/>
    <n v="3051.8999999999869"/>
  </r>
  <r>
    <n v="1030"/>
    <d v="2023-03-19T00:00:00"/>
    <s v="David"/>
    <s v="East"/>
    <n v="1874.63"/>
    <n v="2"/>
    <x v="2"/>
    <n v="844.94"/>
    <n v="1225.6400000000001"/>
    <s v="Returning"/>
    <n v="0.23"/>
    <s v="Credit Card"/>
    <s v="Online"/>
    <s v="East-David"/>
    <n v="761.40000000000009"/>
  </r>
  <r>
    <n v="1038"/>
    <d v="2023-10-15T00:00:00"/>
    <s v="David"/>
    <s v="West"/>
    <n v="8020.03"/>
    <n v="31"/>
    <x v="2"/>
    <n v="2709.84"/>
    <n v="2766.51"/>
    <s v="New"/>
    <n v="0.19"/>
    <s v="Cash"/>
    <s v="Retail"/>
    <s v="West-David"/>
    <n v="1756.7700000000023"/>
  </r>
  <r>
    <n v="1051"/>
    <d v="2023-04-30T00:00:00"/>
    <s v="Bob"/>
    <s v="West"/>
    <n v="5571.8"/>
    <n v="3"/>
    <x v="1"/>
    <n v="1000.18"/>
    <n v="1023.64"/>
    <s v="Returning"/>
    <n v="0.04"/>
    <s v="Credit Card"/>
    <s v="Online"/>
    <s v="West-Bob"/>
    <n v="70.380000000000109"/>
  </r>
  <r>
    <n v="1054"/>
    <d v="2023-10-29T00:00:00"/>
    <s v="David"/>
    <s v="West"/>
    <n v="4025.88"/>
    <n v="8"/>
    <x v="2"/>
    <n v="3610.21"/>
    <n v="3817.99"/>
    <s v="Returning"/>
    <n v="0.15"/>
    <s v="Cash"/>
    <s v="Retail"/>
    <s v="West-David"/>
    <n v="1662.239999999998"/>
  </r>
  <r>
    <n v="1008"/>
    <d v="2023-06-14T00:00:00"/>
    <s v="Eve"/>
    <s v="North"/>
    <n v="1403.98"/>
    <n v="24"/>
    <x v="2"/>
    <n v="1394.17"/>
    <n v="1891.02"/>
    <s v="New"/>
    <n v="0.21"/>
    <s v="Credit Card"/>
    <s v="Online"/>
    <s v="North-Eve"/>
    <n v="11924.399999999998"/>
  </r>
  <r>
    <n v="1027"/>
    <d v="2023-07-01T00:00:00"/>
    <s v="Eve"/>
    <s v="North"/>
    <n v="8666.43"/>
    <n v="15"/>
    <x v="2"/>
    <n v="1615.26"/>
    <n v="1710.95"/>
    <s v="New"/>
    <n v="0.23"/>
    <s v="Credit Card"/>
    <s v="Retail"/>
    <s v="North-Eve"/>
    <n v="1435.3500000000008"/>
  </r>
  <r>
    <n v="1027"/>
    <d v="2023-08-11T00:00:00"/>
    <s v="Eve"/>
    <s v="North"/>
    <n v="1657"/>
    <n v="43"/>
    <x v="2"/>
    <n v="4232.6099999999997"/>
    <n v="4572.21"/>
    <s v="New"/>
    <n v="0.01"/>
    <s v="Cash"/>
    <s v="Retail"/>
    <s v="North-Eve"/>
    <n v="14602.800000000016"/>
  </r>
  <r>
    <n v="1098"/>
    <d v="2023-11-07T00:00:00"/>
    <s v="Alice"/>
    <s v="West"/>
    <n v="3166.9"/>
    <n v="31"/>
    <x v="1"/>
    <n v="2407.8000000000002"/>
    <n v="2502.7600000000002"/>
    <s v="Returning"/>
    <n v="0.27"/>
    <s v="Cash"/>
    <s v="Retail"/>
    <s v="West-Alice"/>
    <n v="2943.7600000000011"/>
  </r>
  <r>
    <n v="1021"/>
    <d v="2023-01-07T00:00:00"/>
    <s v="Bob"/>
    <s v="North"/>
    <n v="2971.45"/>
    <n v="9"/>
    <x v="0"/>
    <n v="3365.28"/>
    <n v="3730.43"/>
    <s v="New"/>
    <n v="0.17"/>
    <s v="Bank Transfer"/>
    <s v="Online"/>
    <s v="North-Bob"/>
    <n v="3286.3499999999967"/>
  </r>
  <r>
    <n v="1030"/>
    <d v="2023-11-26T00:00:00"/>
    <s v="Alice"/>
    <s v="West"/>
    <n v="8727"/>
    <n v="39"/>
    <x v="3"/>
    <n v="2041.75"/>
    <n v="2299.37"/>
    <s v="Returning"/>
    <n v="0.24"/>
    <s v="Bank Transfer"/>
    <s v="Retail"/>
    <s v="West-Alice"/>
    <n v="10047.179999999997"/>
  </r>
  <r>
    <n v="1097"/>
    <d v="2023-09-20T00:00:00"/>
    <s v="David"/>
    <s v="North"/>
    <n v="6759.76"/>
    <n v="45"/>
    <x v="2"/>
    <n v="1525.13"/>
    <n v="1868.32"/>
    <s v="Returning"/>
    <n v="0.24"/>
    <s v="Cash"/>
    <s v="Retail"/>
    <s v="North-David"/>
    <n v="15443.549999999992"/>
  </r>
  <r>
    <n v="1028"/>
    <d v="2023-06-10T00:00:00"/>
    <s v="Alice"/>
    <s v="North"/>
    <n v="7987.15"/>
    <n v="2"/>
    <x v="0"/>
    <n v="3146.12"/>
    <n v="3255.53"/>
    <s v="Returning"/>
    <n v="0.06"/>
    <s v="Bank Transfer"/>
    <s v="Online"/>
    <s v="North-Alice"/>
    <n v="218.82000000000062"/>
  </r>
  <r>
    <n v="1064"/>
    <d v="2023-05-31T00:00:00"/>
    <s v="David"/>
    <s v="South"/>
    <n v="2579.63"/>
    <n v="8"/>
    <x v="2"/>
    <n v="816.54"/>
    <n v="1191.9000000000001"/>
    <s v="New"/>
    <n v="0.03"/>
    <s v="Cash"/>
    <s v="Retail"/>
    <s v="South-David"/>
    <n v="3002.880000000001"/>
  </r>
  <r>
    <n v="1097"/>
    <d v="2023-03-26T00:00:00"/>
    <s v="David"/>
    <s v="East"/>
    <n v="6286.25"/>
    <n v="7"/>
    <x v="2"/>
    <n v="1896.35"/>
    <n v="2394.1999999999998"/>
    <s v="New"/>
    <n v="0.22"/>
    <s v="Bank Transfer"/>
    <s v="Online"/>
    <s v="East-David"/>
    <n v="3484.9499999999994"/>
  </r>
  <r>
    <n v="1069"/>
    <d v="2023-05-27T00:00:00"/>
    <s v="Charlie"/>
    <s v="West"/>
    <n v="5760.29"/>
    <n v="44"/>
    <x v="3"/>
    <n v="1084.73"/>
    <n v="1420.9"/>
    <s v="Returning"/>
    <n v="0.05"/>
    <s v="Credit Card"/>
    <s v="Online"/>
    <s v="West-Charlie"/>
    <n v="14791.480000000003"/>
  </r>
  <r>
    <n v="1061"/>
    <d v="2023-04-22T00:00:00"/>
    <s v="Eve"/>
    <s v="South"/>
    <n v="8345.02"/>
    <n v="39"/>
    <x v="3"/>
    <n v="3494.19"/>
    <n v="3746"/>
    <s v="Returning"/>
    <n v="0.25"/>
    <s v="Bank Transfer"/>
    <s v="Retail"/>
    <s v="South-Eve"/>
    <n v="9820.5899999999983"/>
  </r>
  <r>
    <n v="1048"/>
    <d v="2023-02-05T00:00:00"/>
    <s v="David"/>
    <s v="North"/>
    <n v="9070.26"/>
    <n v="42"/>
    <x v="3"/>
    <n v="4723.83"/>
    <n v="5186.1899999999996"/>
    <s v="Returning"/>
    <n v="0.22"/>
    <s v="Credit Card"/>
    <s v="Online"/>
    <s v="North-David"/>
    <n v="19419.119999999988"/>
  </r>
  <r>
    <n v="1019"/>
    <d v="2023-10-12T00:00:00"/>
    <s v="Charlie"/>
    <s v="West"/>
    <n v="220.35"/>
    <n v="16"/>
    <x v="2"/>
    <n v="4977.78"/>
    <n v="4995.55"/>
    <s v="New"/>
    <n v="0.25"/>
    <s v="Credit Card"/>
    <s v="Online"/>
    <s v="West-Charlie"/>
    <n v="284.32000000000698"/>
  </r>
  <r>
    <n v="1004"/>
    <d v="2023-07-07T00:00:00"/>
    <s v="Eve"/>
    <s v="North"/>
    <n v="6772.8"/>
    <n v="35"/>
    <x v="2"/>
    <n v="2278.87"/>
    <n v="2646.53"/>
    <s v="Returning"/>
    <n v="0.09"/>
    <s v="Bank Transfer"/>
    <s v="Online"/>
    <s v="North-Eve"/>
    <n v="12868.100000000011"/>
  </r>
  <r>
    <n v="1035"/>
    <d v="2023-03-23T00:00:00"/>
    <s v="David"/>
    <s v="East"/>
    <n v="613.16999999999996"/>
    <n v="30"/>
    <x v="2"/>
    <n v="1300.03"/>
    <n v="1745.52"/>
    <s v="New"/>
    <n v="0.09"/>
    <s v="Cash"/>
    <s v="Retail"/>
    <s v="East-David"/>
    <n v="13364.7"/>
  </r>
  <r>
    <n v="1064"/>
    <d v="2023-01-02T00:00:00"/>
    <s v="David"/>
    <s v="South"/>
    <n v="5533.7"/>
    <n v="10"/>
    <x v="3"/>
    <n v="2242.0100000000002"/>
    <n v="2282.23"/>
    <s v="Returning"/>
    <n v="0.2"/>
    <s v="Credit Card"/>
    <s v="Online"/>
    <s v="South-David"/>
    <n v="402.199999999998"/>
  </r>
  <r>
    <n v="1049"/>
    <d v="2023-10-30T00:00:00"/>
    <s v="Alice"/>
    <s v="East"/>
    <n v="2947.56"/>
    <n v="38"/>
    <x v="1"/>
    <n v="4243.9799999999996"/>
    <n v="4474.51"/>
    <s v="New"/>
    <n v="0.01"/>
    <s v="Credit Card"/>
    <s v="Online"/>
    <s v="East-Alice"/>
    <n v="8760.1400000000249"/>
  </r>
  <r>
    <n v="1017"/>
    <d v="2023-07-16T00:00:00"/>
    <s v="Alice"/>
    <s v="South"/>
    <n v="3137.09"/>
    <n v="18"/>
    <x v="0"/>
    <n v="1069.73"/>
    <n v="1180.04"/>
    <s v="Returning"/>
    <n v="0.22"/>
    <s v="Bank Transfer"/>
    <s v="Online"/>
    <s v="South-Alice"/>
    <n v="1985.579999999999"/>
  </r>
  <r>
    <n v="1044"/>
    <d v="2023-01-11T00:00:00"/>
    <s v="Eve"/>
    <s v="North"/>
    <n v="3594.29"/>
    <n v="5"/>
    <x v="1"/>
    <n v="4762.87"/>
    <n v="5050.46"/>
    <s v="New"/>
    <n v="0.25"/>
    <s v="Cash"/>
    <s v="Retail"/>
    <s v="North-Eve"/>
    <n v="1437.9500000000007"/>
  </r>
  <r>
    <n v="1092"/>
    <d v="2023-08-22T00:00:00"/>
    <s v="David"/>
    <s v="East"/>
    <n v="6250.8"/>
    <n v="29"/>
    <x v="2"/>
    <n v="1742.24"/>
    <n v="2070.52"/>
    <s v="New"/>
    <n v="0.12"/>
    <s v="Cash"/>
    <s v="Online"/>
    <s v="East-David"/>
    <n v="9520.119999999999"/>
  </r>
  <r>
    <n v="1030"/>
    <d v="2023-07-14T00:00:00"/>
    <s v="Bob"/>
    <s v="East"/>
    <n v="3407.09"/>
    <n v="39"/>
    <x v="2"/>
    <n v="4929.7299999999996"/>
    <n v="5088.0200000000004"/>
    <s v="New"/>
    <n v="0.23"/>
    <s v="Bank Transfer"/>
    <s v="Retail"/>
    <s v="East-Bob"/>
    <n v="6173.3100000000341"/>
  </r>
  <r>
    <n v="1093"/>
    <d v="2023-04-29T00:00:00"/>
    <s v="Alice"/>
    <s v="North"/>
    <n v="7353.72"/>
    <n v="34"/>
    <x v="1"/>
    <n v="4201.1099999999997"/>
    <n v="4436.5"/>
    <s v="New"/>
    <n v="0.05"/>
    <s v="Cash"/>
    <s v="Online"/>
    <s v="North-Alice"/>
    <n v="8003.2600000000111"/>
  </r>
  <r>
    <n v="1046"/>
    <d v="2023-01-20T00:00:00"/>
    <s v="Eve"/>
    <s v="East"/>
    <n v="4104.82"/>
    <n v="43"/>
    <x v="2"/>
    <n v="4052.42"/>
    <n v="4199.3"/>
    <s v="New"/>
    <n v="0.1"/>
    <s v="Bank Transfer"/>
    <s v="Retail"/>
    <s v="East-Eve"/>
    <n v="6315.8400000000047"/>
  </r>
  <r>
    <n v="1006"/>
    <d v="2023-09-18T00:00:00"/>
    <s v="David"/>
    <s v="West"/>
    <n v="776.7"/>
    <n v="45"/>
    <x v="0"/>
    <n v="1623.63"/>
    <n v="1814.63"/>
    <s v="New"/>
    <n v="0.28999999999999998"/>
    <s v="Bank Transfer"/>
    <s v="Retail"/>
    <s v="West-David"/>
    <n v="8595"/>
  </r>
  <r>
    <n v="1099"/>
    <d v="2023-10-20T00:00:00"/>
    <s v="David"/>
    <s v="South"/>
    <n v="7859.22"/>
    <n v="23"/>
    <x v="2"/>
    <n v="93.45"/>
    <n v="181.62"/>
    <s v="Returning"/>
    <n v="0.3"/>
    <s v="Bank Transfer"/>
    <s v="Retail"/>
    <s v="South-David"/>
    <n v="2027.91"/>
  </r>
  <r>
    <n v="1037"/>
    <d v="2023-09-13T00:00:00"/>
    <s v="Bob"/>
    <s v="South"/>
    <n v="2929.01"/>
    <n v="5"/>
    <x v="0"/>
    <n v="1941.56"/>
    <n v="2385.48"/>
    <s v="Returning"/>
    <n v="0.15"/>
    <s v="Credit Card"/>
    <s v="Online"/>
    <s v="South-Bob"/>
    <n v="2219.6000000000004"/>
  </r>
  <r>
    <n v="1024"/>
    <d v="2023-08-10T00:00:00"/>
    <s v="Eve"/>
    <s v="South"/>
    <n v="4384.3900000000003"/>
    <n v="30"/>
    <x v="1"/>
    <n v="1543.96"/>
    <n v="1558.87"/>
    <s v="Returning"/>
    <n v="0.28000000000000003"/>
    <s v="Credit Card"/>
    <s v="Online"/>
    <s v="South-Eve"/>
    <n v="447.29999999999563"/>
  </r>
  <r>
    <n v="1093"/>
    <d v="2023-08-14T00:00:00"/>
    <s v="David"/>
    <s v="West"/>
    <n v="6885.89"/>
    <n v="6"/>
    <x v="1"/>
    <n v="235.12"/>
    <n v="677.5"/>
    <s v="Returning"/>
    <n v="0.16"/>
    <s v="Credit Card"/>
    <s v="Online"/>
    <s v="West-David"/>
    <n v="2654.2799999999997"/>
  </r>
  <r>
    <n v="1046"/>
    <d v="2023-02-22T00:00:00"/>
    <s v="Alice"/>
    <s v="South"/>
    <n v="3391.32"/>
    <n v="46"/>
    <x v="2"/>
    <n v="2551.56"/>
    <n v="2841.68"/>
    <s v="New"/>
    <n v="0.09"/>
    <s v="Bank Transfer"/>
    <s v="Retail"/>
    <s v="South-Alice"/>
    <n v="13345.519999999995"/>
  </r>
  <r>
    <n v="1053"/>
    <d v="2023-12-21T00:00:00"/>
    <s v="Bob"/>
    <s v="North"/>
    <n v="660.2"/>
    <n v="44"/>
    <x v="0"/>
    <n v="2045"/>
    <n v="2217.5100000000002"/>
    <s v="Returning"/>
    <n v="0.08"/>
    <s v="Credit Card"/>
    <s v="Online"/>
    <s v="North-Bob"/>
    <n v="7590.4400000000096"/>
  </r>
  <r>
    <n v="1095"/>
    <d v="2023-12-08T00:00:00"/>
    <s v="Eve"/>
    <s v="East"/>
    <n v="3801.82"/>
    <n v="4"/>
    <x v="2"/>
    <n v="3191.05"/>
    <n v="3555.35"/>
    <s v="New"/>
    <n v="0.28000000000000003"/>
    <s v="Credit Card"/>
    <s v="Online"/>
    <s v="East-Eve"/>
    <n v="1457.1999999999989"/>
  </r>
  <r>
    <n v="1099"/>
    <d v="2023-12-30T00:00:00"/>
    <s v="Bob"/>
    <s v="West"/>
    <n v="9450.0400000000009"/>
    <n v="29"/>
    <x v="3"/>
    <n v="3124.87"/>
    <n v="3383.67"/>
    <s v="New"/>
    <n v="0.05"/>
    <s v="Credit Card"/>
    <s v="Retail"/>
    <s v="West-Bob"/>
    <n v="7505.2000000000053"/>
  </r>
  <r>
    <n v="1060"/>
    <d v="2023-10-07T00:00:00"/>
    <s v="Alice"/>
    <s v="South"/>
    <n v="6453.17"/>
    <n v="23"/>
    <x v="3"/>
    <n v="647.70000000000005"/>
    <n v="902.26"/>
    <s v="New"/>
    <n v="0.17"/>
    <s v="Bank Transfer"/>
    <s v="Online"/>
    <s v="South-Alice"/>
    <n v="5854.8799999999992"/>
  </r>
  <r>
    <n v="1097"/>
    <d v="2023-03-22T00:00:00"/>
    <s v="Eve"/>
    <s v="North"/>
    <n v="6747.64"/>
    <n v="6"/>
    <x v="3"/>
    <n v="4885.9799999999996"/>
    <n v="4949.95"/>
    <s v="Returning"/>
    <n v="0.17"/>
    <s v="Bank Transfer"/>
    <s v="Online"/>
    <s v="North-Eve"/>
    <n v="383.82000000000153"/>
  </r>
  <r>
    <n v="1063"/>
    <d v="2023-07-21T00:00:00"/>
    <s v="Bob"/>
    <s v="East"/>
    <n v="6359.59"/>
    <n v="32"/>
    <x v="3"/>
    <n v="975.31"/>
    <n v="1176.17"/>
    <s v="New"/>
    <n v="0.22"/>
    <s v="Bank Transfer"/>
    <s v="Retail"/>
    <s v="East-Bob"/>
    <n v="6427.5200000000041"/>
  </r>
  <r>
    <n v="1085"/>
    <d v="2023-06-07T00:00:00"/>
    <s v="Charlie"/>
    <s v="East"/>
    <n v="2070.02"/>
    <n v="42"/>
    <x v="2"/>
    <n v="2254.11"/>
    <n v="2382.23"/>
    <s v="Returning"/>
    <n v="0.15"/>
    <s v="Credit Card"/>
    <s v="Retail"/>
    <s v="East-Charlie"/>
    <n v="5381.0399999999954"/>
  </r>
  <r>
    <n v="1032"/>
    <d v="2023-04-30T00:00:00"/>
    <s v="Alice"/>
    <s v="West"/>
    <n v="4241.51"/>
    <n v="18"/>
    <x v="3"/>
    <n v="2466.1799999999998"/>
    <n v="2483.87"/>
    <s v="Returning"/>
    <n v="0.08"/>
    <s v="Cash"/>
    <s v="Online"/>
    <s v="West-Alice"/>
    <n v="318.42000000000098"/>
  </r>
  <r>
    <n v="1087"/>
    <d v="2023-02-28T00:00:00"/>
    <s v="Alice"/>
    <s v="West"/>
    <n v="7534.3"/>
    <n v="15"/>
    <x v="0"/>
    <n v="4074.66"/>
    <n v="4261.1099999999997"/>
    <s v="Returning"/>
    <n v="0.05"/>
    <s v="Credit Card"/>
    <s v="Retail"/>
    <s v="West-Alice"/>
    <n v="2796.7499999999973"/>
  </r>
  <r>
    <n v="1033"/>
    <d v="2023-08-03T00:00:00"/>
    <s v="Alice"/>
    <s v="West"/>
    <n v="1103.5899999999999"/>
    <n v="40"/>
    <x v="1"/>
    <n v="541.19000000000005"/>
    <n v="595.20000000000005"/>
    <s v="Returning"/>
    <n v="0.19"/>
    <s v="Credit Card"/>
    <s v="Online"/>
    <s v="West-Alice"/>
    <n v="2160.3999999999996"/>
  </r>
  <r>
    <n v="1067"/>
    <d v="2023-05-08T00:00:00"/>
    <s v="Charlie"/>
    <s v="North"/>
    <n v="2850.74"/>
    <n v="32"/>
    <x v="1"/>
    <n v="2171.79"/>
    <n v="2307.64"/>
    <s v="Returning"/>
    <n v="0.22"/>
    <s v="Bank Transfer"/>
    <s v="Online"/>
    <s v="North-Charlie"/>
    <n v="4347.1999999999971"/>
  </r>
  <r>
    <n v="1018"/>
    <d v="2023-08-12T00:00:00"/>
    <s v="Charlie"/>
    <s v="North"/>
    <n v="2835.56"/>
    <n v="9"/>
    <x v="3"/>
    <n v="3161.09"/>
    <n v="3216.42"/>
    <s v="New"/>
    <n v="0.17"/>
    <s v="Bank Transfer"/>
    <s v="Online"/>
    <s v="North-Charlie"/>
    <n v="497.96999999999935"/>
  </r>
  <r>
    <n v="1025"/>
    <d v="2023-07-28T00:00:00"/>
    <s v="David"/>
    <s v="West"/>
    <n v="4376.99"/>
    <n v="37"/>
    <x v="3"/>
    <n v="1115.02"/>
    <n v="1174.48"/>
    <s v="New"/>
    <n v="0.22"/>
    <s v="Credit Card"/>
    <s v="Online"/>
    <s v="West-David"/>
    <n v="2200.0200000000013"/>
  </r>
  <r>
    <n v="1095"/>
    <d v="2023-04-25T00:00:00"/>
    <s v="Bob"/>
    <s v="South"/>
    <n v="9805.65"/>
    <n v="10"/>
    <x v="3"/>
    <n v="3155.97"/>
    <n v="3263.49"/>
    <s v="Returning"/>
    <n v="0.04"/>
    <s v="Credit Card"/>
    <s v="Online"/>
    <s v="South-Bob"/>
    <n v="1075.1999999999998"/>
  </r>
  <r>
    <n v="1054"/>
    <d v="2023-07-28T00:00:00"/>
    <s v="David"/>
    <s v="East"/>
    <n v="768.28"/>
    <n v="20"/>
    <x v="2"/>
    <n v="4622.1400000000003"/>
    <n v="5122.07"/>
    <s v="New"/>
    <n v="0.26"/>
    <s v="Cash"/>
    <s v="Retail"/>
    <s v="East-David"/>
    <n v="9998.5999999999876"/>
  </r>
  <r>
    <n v="1058"/>
    <d v="2023-01-14T00:00:00"/>
    <s v="Bob"/>
    <s v="East"/>
    <n v="5235.1400000000003"/>
    <n v="6"/>
    <x v="1"/>
    <n v="4987.71"/>
    <n v="4998.78"/>
    <s v="Returning"/>
    <n v="0.17"/>
    <s v="Cash"/>
    <s v="Retail"/>
    <s v="East-Bob"/>
    <n v="66.419999999998254"/>
  </r>
  <r>
    <n v="1067"/>
    <d v="2023-01-09T00:00:00"/>
    <s v="Charlie"/>
    <s v="North"/>
    <n v="1875.71"/>
    <n v="48"/>
    <x v="3"/>
    <n v="210.63"/>
    <n v="533.58000000000004"/>
    <s v="New"/>
    <n v="0.04"/>
    <s v="Bank Transfer"/>
    <s v="Online"/>
    <s v="North-Charlie"/>
    <n v="15501.600000000002"/>
  </r>
  <r>
    <n v="1046"/>
    <d v="2023-02-09T00:00:00"/>
    <s v="Charlie"/>
    <s v="East"/>
    <n v="9709.7000000000007"/>
    <n v="3"/>
    <x v="0"/>
    <n v="1216.1600000000001"/>
    <n v="1295.3699999999999"/>
    <s v="New"/>
    <n v="0.14000000000000001"/>
    <s v="Cash"/>
    <s v="Retail"/>
    <s v="East-Charlie"/>
    <n v="237.62999999999943"/>
  </r>
  <r>
    <n v="1024"/>
    <d v="2023-08-25T00:00:00"/>
    <s v="David"/>
    <s v="South"/>
    <n v="1221.7"/>
    <n v="42"/>
    <x v="3"/>
    <n v="1586.02"/>
    <n v="2047.13"/>
    <s v="New"/>
    <n v="0.25"/>
    <s v="Cash"/>
    <s v="Retail"/>
    <s v="South-David"/>
    <n v="19366.620000000006"/>
  </r>
  <r>
    <n v="1032"/>
    <d v="2023-10-08T00:00:00"/>
    <s v="Eve"/>
    <s v="East"/>
    <n v="4095.65"/>
    <n v="11"/>
    <x v="1"/>
    <n v="2025.67"/>
    <n v="2081.5500000000002"/>
    <s v="New"/>
    <n v="0.27"/>
    <s v="Bank Transfer"/>
    <s v="Online"/>
    <s v="East-Eve"/>
    <n v="614.6800000000012"/>
  </r>
  <r>
    <n v="1047"/>
    <d v="2023-12-25T00:00:00"/>
    <s v="David"/>
    <s v="North"/>
    <n v="7405.06"/>
    <n v="43"/>
    <x v="3"/>
    <n v="1249.17"/>
    <n v="1727.15"/>
    <s v="New"/>
    <n v="0.08"/>
    <s v="Cash"/>
    <s v="Retail"/>
    <s v="North-David"/>
    <n v="20553.14"/>
  </r>
  <r>
    <n v="1086"/>
    <d v="2023-07-20T00:00:00"/>
    <s v="Bob"/>
    <s v="North"/>
    <n v="7075.09"/>
    <n v="17"/>
    <x v="1"/>
    <n v="1057.27"/>
    <n v="1366.62"/>
    <s v="New"/>
    <n v="0.21"/>
    <s v="Credit Card"/>
    <s v="Retail"/>
    <s v="North-Bob"/>
    <n v="5258.9499999999989"/>
  </r>
  <r>
    <n v="1023"/>
    <d v="2023-09-03T00:00:00"/>
    <s v="David"/>
    <s v="South"/>
    <n v="4285.01"/>
    <n v="32"/>
    <x v="3"/>
    <n v="4775.04"/>
    <n v="4785.66"/>
    <s v="New"/>
    <n v="0.03"/>
    <s v="Cash"/>
    <s v="Online"/>
    <s v="South-David"/>
    <n v="339.83999999999651"/>
  </r>
  <r>
    <n v="1066"/>
    <d v="2023-10-05T00:00:00"/>
    <s v="Alice"/>
    <s v="South"/>
    <n v="3530.59"/>
    <n v="4"/>
    <x v="0"/>
    <n v="4596.68"/>
    <n v="5044.74"/>
    <s v="New"/>
    <n v="0.01"/>
    <s v="Bank Transfer"/>
    <s v="Online"/>
    <s v="South-Alice"/>
    <n v="1792.239999999998"/>
  </r>
  <r>
    <n v="1027"/>
    <d v="2023-08-23T00:00:00"/>
    <s v="Bob"/>
    <s v="East"/>
    <n v="4036.36"/>
    <n v="4"/>
    <x v="3"/>
    <n v="282.61"/>
    <n v="548.25"/>
    <s v="New"/>
    <n v="0.17"/>
    <s v="Credit Card"/>
    <s v="Online"/>
    <s v="East-Bob"/>
    <n v="1062.56"/>
  </r>
  <r>
    <n v="1002"/>
    <d v="2023-01-04T00:00:00"/>
    <s v="Bob"/>
    <s v="East"/>
    <n v="2716.34"/>
    <n v="17"/>
    <x v="0"/>
    <n v="1727.12"/>
    <n v="1865.83"/>
    <s v="New"/>
    <n v="0.21"/>
    <s v="Cash"/>
    <s v="Online"/>
    <s v="East-Bob"/>
    <n v="2358.0700000000006"/>
  </r>
  <r>
    <n v="1090"/>
    <d v="2023-06-03T00:00:00"/>
    <s v="Eve"/>
    <s v="North"/>
    <n v="2132.8000000000002"/>
    <n v="41"/>
    <x v="0"/>
    <n v="2055.4899999999998"/>
    <n v="2441.46"/>
    <s v="New"/>
    <n v="0.24"/>
    <s v="Credit Card"/>
    <s v="Online"/>
    <s v="North-Eve"/>
    <n v="15824.770000000011"/>
  </r>
  <r>
    <n v="1017"/>
    <d v="2023-01-29T00:00:00"/>
    <s v="Charlie"/>
    <s v="South"/>
    <n v="4882.09"/>
    <n v="19"/>
    <x v="3"/>
    <n v="1233.1199999999999"/>
    <n v="1697.19"/>
    <s v="New"/>
    <n v="0.1"/>
    <s v="Credit Card"/>
    <s v="Online"/>
    <s v="South-Charlie"/>
    <n v="8817.3300000000036"/>
  </r>
  <r>
    <n v="1033"/>
    <d v="2023-04-19T00:00:00"/>
    <s v="Bob"/>
    <s v="South"/>
    <n v="2758.48"/>
    <n v="5"/>
    <x v="0"/>
    <n v="3162.92"/>
    <n v="3409.93"/>
    <s v="New"/>
    <n v="0"/>
    <s v="Cash"/>
    <s v="Online"/>
    <s v="South-Bob"/>
    <n v="1235.0499999999988"/>
  </r>
  <r>
    <n v="1009"/>
    <d v="2023-04-08T00:00:00"/>
    <s v="Charlie"/>
    <s v="South"/>
    <n v="2945.87"/>
    <n v="32"/>
    <x v="2"/>
    <n v="3219.88"/>
    <n v="3384.5"/>
    <s v="Returning"/>
    <n v="0.14000000000000001"/>
    <s v="Cash"/>
    <s v="Retail"/>
    <s v="South-Charlie"/>
    <n v="5267.8399999999965"/>
  </r>
  <r>
    <n v="1043"/>
    <d v="2023-08-03T00:00:00"/>
    <s v="David"/>
    <s v="East"/>
    <n v="6601.89"/>
    <n v="22"/>
    <x v="3"/>
    <n v="4260"/>
    <n v="4656.58"/>
    <s v="New"/>
    <n v="0"/>
    <s v="Bank Transfer"/>
    <s v="Online"/>
    <s v="East-David"/>
    <n v="8724.7599999999984"/>
  </r>
  <r>
    <n v="1048"/>
    <d v="2023-10-20T00:00:00"/>
    <s v="Alice"/>
    <s v="South"/>
    <n v="9688.52"/>
    <n v="6"/>
    <x v="3"/>
    <n v="3717.3"/>
    <n v="4061.37"/>
    <s v="New"/>
    <n v="0.03"/>
    <s v="Bank Transfer"/>
    <s v="Retail"/>
    <s v="South-Alice"/>
    <n v="2064.4199999999983"/>
  </r>
  <r>
    <n v="1039"/>
    <d v="2023-03-16T00:00:00"/>
    <s v="Eve"/>
    <s v="North"/>
    <n v="6076.01"/>
    <n v="35"/>
    <x v="0"/>
    <n v="2735.74"/>
    <n v="3181.23"/>
    <s v="New"/>
    <n v="0.1"/>
    <s v="Credit Card"/>
    <s v="Retail"/>
    <s v="North-Eve"/>
    <n v="15592.150000000009"/>
  </r>
  <r>
    <n v="1093"/>
    <d v="2023-11-22T00:00:00"/>
    <s v="Charlie"/>
    <s v="North"/>
    <n v="862.1"/>
    <n v="22"/>
    <x v="0"/>
    <n v="3285.25"/>
    <n v="3634.58"/>
    <s v="New"/>
    <n v="0.13"/>
    <s v="Bank Transfer"/>
    <s v="Online"/>
    <s v="North-Charlie"/>
    <n v="7685.2599999999984"/>
  </r>
  <r>
    <n v="1042"/>
    <d v="2023-05-26T00:00:00"/>
    <s v="Bob"/>
    <s v="East"/>
    <n v="848.28"/>
    <n v="1"/>
    <x v="3"/>
    <n v="1406.24"/>
    <n v="1535.57"/>
    <s v="New"/>
    <n v="0.08"/>
    <s v="Credit Card"/>
    <s v="Retail"/>
    <s v="East-Bob"/>
    <n v="129.32999999999993"/>
  </r>
  <r>
    <n v="1026"/>
    <d v="2023-05-08T00:00:00"/>
    <s v="Charlie"/>
    <s v="West"/>
    <n v="9519.09"/>
    <n v="20"/>
    <x v="2"/>
    <n v="2985.63"/>
    <n v="3452.14"/>
    <s v="New"/>
    <n v="0.17"/>
    <s v="Credit Card"/>
    <s v="Retail"/>
    <s v="West-Charlie"/>
    <n v="9330.1999999999953"/>
  </r>
  <r>
    <n v="1099"/>
    <d v="2023-12-07T00:00:00"/>
    <s v="Bob"/>
    <s v="East"/>
    <n v="3043.18"/>
    <n v="22"/>
    <x v="0"/>
    <n v="2471.67"/>
    <n v="2533.04"/>
    <s v="Returning"/>
    <n v="0.02"/>
    <s v="Bank Transfer"/>
    <s v="Retail"/>
    <s v="East-Bob"/>
    <n v="1350.1399999999976"/>
  </r>
  <r>
    <n v="1050"/>
    <d v="2023-02-11T00:00:00"/>
    <s v="Charlie"/>
    <s v="West"/>
    <n v="1011.46"/>
    <n v="48"/>
    <x v="0"/>
    <n v="710.06"/>
    <n v="851.35"/>
    <s v="Returning"/>
    <n v="0.04"/>
    <s v="Bank Transfer"/>
    <s v="Online"/>
    <s v="West-Charlie"/>
    <n v="6781.9200000000037"/>
  </r>
  <r>
    <n v="1025"/>
    <d v="2023-12-22T00:00:00"/>
    <s v="Bob"/>
    <s v="South"/>
    <n v="6030.54"/>
    <n v="11"/>
    <x v="1"/>
    <n v="1250.5899999999999"/>
    <n v="1515.49"/>
    <s v="Returning"/>
    <n v="0.21"/>
    <s v="Bank Transfer"/>
    <s v="Retail"/>
    <s v="South-Bob"/>
    <n v="2913.900000000001"/>
  </r>
  <r>
    <n v="1024"/>
    <d v="2023-02-10T00:00:00"/>
    <s v="David"/>
    <s v="East"/>
    <n v="6274.12"/>
    <n v="13"/>
    <x v="2"/>
    <n v="1493.88"/>
    <n v="1781.09"/>
    <s v="New"/>
    <n v="0.04"/>
    <s v="Cash"/>
    <s v="Retail"/>
    <s v="East-David"/>
    <n v="3733.7299999999977"/>
  </r>
  <r>
    <n v="1013"/>
    <d v="2023-02-03T00:00:00"/>
    <s v="Bob"/>
    <s v="North"/>
    <n v="6520.2"/>
    <n v="42"/>
    <x v="2"/>
    <n v="4625.33"/>
    <n v="4642.83"/>
    <s v="New"/>
    <n v="0.19"/>
    <s v="Credit Card"/>
    <s v="Online"/>
    <s v="North-Bob"/>
    <n v="735"/>
  </r>
  <r>
    <n v="1060"/>
    <d v="2023-01-17T00:00:00"/>
    <s v="Bob"/>
    <s v="South"/>
    <n v="2747.28"/>
    <n v="3"/>
    <x v="3"/>
    <n v="1190.4100000000001"/>
    <n v="1582.89"/>
    <s v="New"/>
    <n v="0.02"/>
    <s v="Credit Card"/>
    <s v="Retail"/>
    <s v="South-Bob"/>
    <n v="1177.44"/>
  </r>
  <r>
    <n v="1007"/>
    <d v="2023-06-14T00:00:00"/>
    <s v="Alice"/>
    <s v="North"/>
    <n v="249.6"/>
    <n v="9"/>
    <x v="2"/>
    <n v="1481.76"/>
    <n v="1668.95"/>
    <s v="Returning"/>
    <n v="0.12"/>
    <s v="Credit Card"/>
    <s v="Retail"/>
    <s v="North-Alice"/>
    <n v="1684.7100000000005"/>
  </r>
  <r>
    <n v="1057"/>
    <d v="2023-06-02T00:00:00"/>
    <s v="Bob"/>
    <s v="South"/>
    <n v="9653.65"/>
    <n v="12"/>
    <x v="3"/>
    <n v="1878.3"/>
    <n v="2087.4499999999998"/>
    <s v="New"/>
    <n v="0.05"/>
    <s v="Bank Transfer"/>
    <s v="Retail"/>
    <s v="South-Bob"/>
    <n v="2509.7999999999984"/>
  </r>
  <r>
    <n v="1036"/>
    <d v="2023-03-17T00:00:00"/>
    <s v="Alice"/>
    <s v="East"/>
    <n v="2583.84"/>
    <n v="23"/>
    <x v="1"/>
    <n v="3335.53"/>
    <n v="3742.12"/>
    <s v="New"/>
    <n v="0.03"/>
    <s v="Bank Transfer"/>
    <s v="Retail"/>
    <s v="East-Alice"/>
    <n v="9351.5699999999924"/>
  </r>
  <r>
    <n v="1045"/>
    <d v="2023-03-28T00:00:00"/>
    <s v="Eve"/>
    <s v="West"/>
    <n v="6792.66"/>
    <n v="14"/>
    <x v="2"/>
    <n v="635.28"/>
    <n v="831.13"/>
    <s v="Returning"/>
    <n v="0.17"/>
    <s v="Bank Transfer"/>
    <s v="Retail"/>
    <s v="West-Eve"/>
    <n v="2741.9000000000005"/>
  </r>
  <r>
    <n v="1020"/>
    <d v="2023-04-27T00:00:00"/>
    <s v="Alice"/>
    <s v="South"/>
    <n v="7095.64"/>
    <n v="33"/>
    <x v="0"/>
    <n v="4772.03"/>
    <n v="4805.17"/>
    <s v="Returning"/>
    <n v="0.28000000000000003"/>
    <s v="Bank Transfer"/>
    <s v="Online"/>
    <s v="South-Alice"/>
    <n v="1093.6200000000108"/>
  </r>
  <r>
    <n v="1065"/>
    <d v="2023-12-28T00:00:00"/>
    <s v="David"/>
    <s v="West"/>
    <n v="6139.07"/>
    <n v="18"/>
    <x v="1"/>
    <n v="4334.58"/>
    <n v="4431.04"/>
    <s v="New"/>
    <n v="0.02"/>
    <s v="Bank Transfer"/>
    <s v="Retail"/>
    <s v="West-David"/>
    <n v="1736.2800000000007"/>
  </r>
  <r>
    <n v="1008"/>
    <d v="2023-12-08T00:00:00"/>
    <s v="Alice"/>
    <s v="South"/>
    <n v="3197.78"/>
    <n v="49"/>
    <x v="3"/>
    <n v="2907.22"/>
    <n v="3385.61"/>
    <s v="New"/>
    <n v="0.13"/>
    <s v="Cash"/>
    <s v="Online"/>
    <s v="South-Alice"/>
    <n v="23441.110000000015"/>
  </r>
  <r>
    <n v="1016"/>
    <d v="2023-01-27T00:00:00"/>
    <s v="Eve"/>
    <s v="North"/>
    <n v="2783.85"/>
    <n v="41"/>
    <x v="1"/>
    <n v="3386.49"/>
    <n v="3430.99"/>
    <s v="New"/>
    <n v="0.21"/>
    <s v="Bank Transfer"/>
    <s v="Retail"/>
    <s v="North-Eve"/>
    <n v="1824.5"/>
  </r>
  <r>
    <n v="1014"/>
    <d v="2023-11-09T00:00:00"/>
    <s v="David"/>
    <s v="North"/>
    <n v="6016.92"/>
    <n v="9"/>
    <x v="3"/>
    <n v="132.47"/>
    <n v="316.39"/>
    <s v="New"/>
    <n v="0.14000000000000001"/>
    <s v="Credit Card"/>
    <s v="Online"/>
    <s v="North-David"/>
    <n v="1655.28"/>
  </r>
  <r>
    <n v="1076"/>
    <d v="2023-10-14T00:00:00"/>
    <s v="Charlie"/>
    <s v="South"/>
    <n v="8674.35"/>
    <n v="23"/>
    <x v="1"/>
    <n v="1727.78"/>
    <n v="1984.34"/>
    <s v="Returning"/>
    <n v="0.24"/>
    <s v="Bank Transfer"/>
    <s v="Online"/>
    <s v="South-Charlie"/>
    <n v="5900.8799999999992"/>
  </r>
  <r>
    <n v="1087"/>
    <d v="2023-05-14T00:00:00"/>
    <s v="Charlie"/>
    <s v="West"/>
    <n v="9472.66"/>
    <n v="10"/>
    <x v="3"/>
    <n v="3988.52"/>
    <n v="4240.2299999999996"/>
    <s v="New"/>
    <n v="0.05"/>
    <s v="Credit Card"/>
    <s v="Online"/>
    <s v="West-Charlie"/>
    <n v="2517.0999999999958"/>
  </r>
  <r>
    <n v="1015"/>
    <d v="2023-08-07T00:00:00"/>
    <s v="Alice"/>
    <s v="East"/>
    <n v="1148.47"/>
    <n v="19"/>
    <x v="2"/>
    <n v="433.54"/>
    <n v="445.48"/>
    <s v="New"/>
    <n v="0.28999999999999998"/>
    <s v="Bank Transfer"/>
    <s v="Retail"/>
    <s v="East-Alice"/>
    <n v="226.85999999999996"/>
  </r>
  <r>
    <n v="1092"/>
    <d v="2023-06-17T00:00:00"/>
    <s v="Alice"/>
    <s v="East"/>
    <n v="1632.8"/>
    <n v="47"/>
    <x v="0"/>
    <n v="1447.45"/>
    <n v="1703.02"/>
    <s v="Returning"/>
    <n v="0.12"/>
    <s v="Bank Transfer"/>
    <s v="Retail"/>
    <s v="East-Alice"/>
    <n v="12011.789999999997"/>
  </r>
  <r>
    <n v="1098"/>
    <d v="2023-04-08T00:00:00"/>
    <s v="Eve"/>
    <s v="North"/>
    <n v="9452.89"/>
    <n v="5"/>
    <x v="3"/>
    <n v="2947.22"/>
    <n v="3145.27"/>
    <s v="New"/>
    <n v="0.1"/>
    <s v="Credit Card"/>
    <s v="Retail"/>
    <s v="North-Eve"/>
    <n v="990.25000000000091"/>
  </r>
  <r>
    <n v="1066"/>
    <d v="2023-09-25T00:00:00"/>
    <s v="Eve"/>
    <s v="East"/>
    <n v="7391.7"/>
    <n v="47"/>
    <x v="1"/>
    <n v="1319.24"/>
    <n v="1805.56"/>
    <s v="New"/>
    <n v="0.26"/>
    <s v="Credit Card"/>
    <s v="Retail"/>
    <s v="East-Eve"/>
    <n v="22857.039999999997"/>
  </r>
  <r>
    <n v="1032"/>
    <d v="2023-08-25T00:00:00"/>
    <s v="Bob"/>
    <s v="North"/>
    <n v="8841.64"/>
    <n v="23"/>
    <x v="3"/>
    <n v="4673.1899999999996"/>
    <n v="4761.18"/>
    <s v="Returning"/>
    <n v="0.17"/>
    <s v="Credit Card"/>
    <s v="Retail"/>
    <s v="North-Bob"/>
    <n v="2023.7700000000159"/>
  </r>
  <r>
    <n v="1087"/>
    <d v="2023-11-05T00:00:00"/>
    <s v="Eve"/>
    <s v="East"/>
    <n v="2106.06"/>
    <n v="30"/>
    <x v="3"/>
    <n v="698.74"/>
    <n v="882.28"/>
    <s v="Returning"/>
    <n v="0.15"/>
    <s v="Credit Card"/>
    <s v="Online"/>
    <s v="East-Eve"/>
    <n v="5506.1999999999989"/>
  </r>
  <r>
    <n v="1063"/>
    <d v="2023-06-22T00:00:00"/>
    <s v="Bob"/>
    <s v="South"/>
    <n v="5917.1"/>
    <n v="25"/>
    <x v="3"/>
    <n v="3997.1"/>
    <n v="4212.6499999999996"/>
    <s v="New"/>
    <n v="0.22"/>
    <s v="Cash"/>
    <s v="Online"/>
    <s v="South-Bob"/>
    <n v="5388.7499999999927"/>
  </r>
  <r>
    <n v="1086"/>
    <d v="2023-07-09T00:00:00"/>
    <s v="David"/>
    <s v="North"/>
    <n v="7041.28"/>
    <n v="28"/>
    <x v="1"/>
    <n v="2564.35"/>
    <n v="2765.79"/>
    <s v="Returning"/>
    <n v="0.17"/>
    <s v="Credit Card"/>
    <s v="Online"/>
    <s v="North-David"/>
    <n v="5640.3200000000015"/>
  </r>
  <r>
    <n v="1051"/>
    <d v="2023-05-02T00:00:00"/>
    <s v="Alice"/>
    <s v="North"/>
    <n v="6833.11"/>
    <n v="34"/>
    <x v="0"/>
    <n v="3764.14"/>
    <n v="4100.3999999999996"/>
    <s v="Returning"/>
    <n v="0.05"/>
    <s v="Bank Transfer"/>
    <s v="Retail"/>
    <s v="North-Alice"/>
    <n v="11432.839999999993"/>
  </r>
  <r>
    <n v="1025"/>
    <d v="2023-02-15T00:00:00"/>
    <s v="David"/>
    <s v="South"/>
    <n v="4140.7"/>
    <n v="45"/>
    <x v="2"/>
    <n v="1588.04"/>
    <n v="1703.64"/>
    <s v="New"/>
    <n v="0.2"/>
    <s v="Bank Transfer"/>
    <s v="Retail"/>
    <s v="South-David"/>
    <n v="5202.0000000000064"/>
  </r>
  <r>
    <n v="1058"/>
    <d v="2023-03-05T00:00:00"/>
    <s v="Eve"/>
    <s v="North"/>
    <n v="252.41"/>
    <n v="48"/>
    <x v="0"/>
    <n v="2596.7199999999998"/>
    <n v="2715.05"/>
    <s v="Returning"/>
    <n v="0.04"/>
    <s v="Cash"/>
    <s v="Online"/>
    <s v="North-Eve"/>
    <n v="5679.8400000000183"/>
  </r>
  <r>
    <n v="1063"/>
    <d v="2023-05-10T00:00:00"/>
    <s v="David"/>
    <s v="East"/>
    <n v="5870.97"/>
    <n v="47"/>
    <x v="3"/>
    <n v="4291.33"/>
    <n v="4658.6400000000003"/>
    <s v="New"/>
    <n v="0.24"/>
    <s v="Credit Card"/>
    <s v="Retail"/>
    <s v="East-David"/>
    <n v="17263.570000000018"/>
  </r>
  <r>
    <n v="1062"/>
    <d v="2023-11-06T00:00:00"/>
    <s v="David"/>
    <s v="East"/>
    <n v="2605.71"/>
    <n v="25"/>
    <x v="1"/>
    <n v="2361.0500000000002"/>
    <n v="2616.19"/>
    <s v="New"/>
    <n v="0.3"/>
    <s v="Bank Transfer"/>
    <s v="Retail"/>
    <s v="East-David"/>
    <n v="6378.4999999999964"/>
  </r>
  <r>
    <n v="1022"/>
    <d v="2023-12-29T00:00:00"/>
    <s v="David"/>
    <s v="North"/>
    <n v="4557.5200000000004"/>
    <n v="10"/>
    <x v="0"/>
    <n v="1830.61"/>
    <n v="2044.04"/>
    <s v="New"/>
    <n v="0.11"/>
    <s v="Cash"/>
    <s v="Online"/>
    <s v="North-David"/>
    <n v="2134.3000000000006"/>
  </r>
  <r>
    <n v="1058"/>
    <d v="2023-07-12T00:00:00"/>
    <s v="Eve"/>
    <s v="East"/>
    <n v="9580.0499999999993"/>
    <n v="14"/>
    <x v="3"/>
    <n v="2703.97"/>
    <n v="2796.88"/>
    <s v="New"/>
    <n v="0.13"/>
    <s v="Bank Transfer"/>
    <s v="Online"/>
    <s v="East-Eve"/>
    <n v="1300.7400000000043"/>
  </r>
  <r>
    <n v="1058"/>
    <d v="2023-11-03T00:00:00"/>
    <s v="David"/>
    <s v="West"/>
    <n v="4050.45"/>
    <n v="42"/>
    <x v="2"/>
    <n v="3600.95"/>
    <n v="3702.84"/>
    <s v="Returning"/>
    <n v="0.01"/>
    <s v="Cash"/>
    <s v="Retail"/>
    <s v="West-David"/>
    <n v="4279.3800000000138"/>
  </r>
  <r>
    <n v="1086"/>
    <d v="2023-06-30T00:00:00"/>
    <s v="Bob"/>
    <s v="North"/>
    <n v="8414.0400000000009"/>
    <n v="46"/>
    <x v="2"/>
    <n v="2245.64"/>
    <n v="2260.81"/>
    <s v="New"/>
    <n v="0"/>
    <s v="Cash"/>
    <s v="Retail"/>
    <s v="North-Bob"/>
    <n v="697.82000000000335"/>
  </r>
  <r>
    <n v="1049"/>
    <d v="2023-10-19T00:00:00"/>
    <s v="Eve"/>
    <s v="South"/>
    <n v="1966.55"/>
    <n v="30"/>
    <x v="2"/>
    <n v="4697.4399999999996"/>
    <n v="4752.24"/>
    <s v="New"/>
    <n v="0.28000000000000003"/>
    <s v="Credit Card"/>
    <s v="Online"/>
    <s v="South-Eve"/>
    <n v="1644.0000000000055"/>
  </r>
  <r>
    <n v="1052"/>
    <d v="2023-10-09T00:00:00"/>
    <s v="David"/>
    <s v="West"/>
    <n v="6757.36"/>
    <n v="41"/>
    <x v="3"/>
    <n v="1509.98"/>
    <n v="1792.83"/>
    <s v="New"/>
    <n v="0.04"/>
    <s v="Cash"/>
    <s v="Retail"/>
    <s v="West-David"/>
    <n v="11596.849999999997"/>
  </r>
  <r>
    <n v="1042"/>
    <d v="2023-01-29T00:00:00"/>
    <s v="Eve"/>
    <s v="North"/>
    <n v="9772.3700000000008"/>
    <n v="25"/>
    <x v="1"/>
    <n v="2403.54"/>
    <n v="2850.56"/>
    <s v="New"/>
    <n v="0.13"/>
    <s v="Bank Transfer"/>
    <s v="Online"/>
    <s v="North-Eve"/>
    <n v="11175.5"/>
  </r>
  <r>
    <n v="1070"/>
    <d v="2023-05-29T00:00:00"/>
    <s v="Charlie"/>
    <s v="South"/>
    <n v="1108.74"/>
    <n v="14"/>
    <x v="0"/>
    <n v="3796.79"/>
    <n v="3947.5"/>
    <s v="Returning"/>
    <n v="0.24"/>
    <s v="Bank Transfer"/>
    <s v="Online"/>
    <s v="South-Charlie"/>
    <n v="2109.9400000000005"/>
  </r>
  <r>
    <n v="1015"/>
    <d v="2023-09-24T00:00:00"/>
    <s v="Bob"/>
    <s v="East"/>
    <n v="182.37"/>
    <n v="35"/>
    <x v="2"/>
    <n v="3461.15"/>
    <n v="3631.75"/>
    <s v="Returning"/>
    <n v="0.27"/>
    <s v="Credit Card"/>
    <s v="Online"/>
    <s v="East-Bob"/>
    <n v="5970.9999999999964"/>
  </r>
  <r>
    <n v="1054"/>
    <d v="2023-10-23T00:00:00"/>
    <s v="David"/>
    <s v="South"/>
    <n v="4392.47"/>
    <n v="48"/>
    <x v="3"/>
    <n v="4325.0200000000004"/>
    <n v="4391.67"/>
    <s v="Returning"/>
    <n v="0.16"/>
    <s v="Credit Card"/>
    <s v="Retail"/>
    <s v="South-David"/>
    <n v="3199.1999999999825"/>
  </r>
  <r>
    <n v="1060"/>
    <d v="2023-01-11T00:00:00"/>
    <s v="Charlie"/>
    <s v="West"/>
    <n v="1016.99"/>
    <n v="34"/>
    <x v="3"/>
    <n v="4984.21"/>
    <n v="5184.6400000000003"/>
    <s v="New"/>
    <n v="0.17"/>
    <s v="Cash"/>
    <s v="Online"/>
    <s v="West-Charlie"/>
    <n v="6814.6200000000099"/>
  </r>
  <r>
    <n v="1097"/>
    <d v="2023-06-13T00:00:00"/>
    <s v="Charlie"/>
    <s v="East"/>
    <n v="7509.01"/>
    <n v="10"/>
    <x v="0"/>
    <n v="2162.9499999999998"/>
    <n v="2191.19"/>
    <s v="Returning"/>
    <n v="0.2"/>
    <s v="Credit Card"/>
    <s v="Online"/>
    <s v="East-Charlie"/>
    <n v="282.40000000000236"/>
  </r>
  <r>
    <n v="1008"/>
    <d v="2023-04-23T00:00:00"/>
    <s v="Eve"/>
    <s v="North"/>
    <n v="9154.0300000000007"/>
    <n v="35"/>
    <x v="2"/>
    <n v="600.20000000000005"/>
    <n v="1059.82"/>
    <s v="Returning"/>
    <n v="0.28999999999999998"/>
    <s v="Bank Transfer"/>
    <s v="Retail"/>
    <s v="North-Eve"/>
    <n v="16086.699999999997"/>
  </r>
  <r>
    <n v="1053"/>
    <d v="2023-07-06T00:00:00"/>
    <s v="Charlie"/>
    <s v="East"/>
    <n v="4396.8100000000004"/>
    <n v="11"/>
    <x v="3"/>
    <n v="200.56"/>
    <n v="540.38"/>
    <s v="New"/>
    <n v="0.18"/>
    <s v="Bank Transfer"/>
    <s v="Online"/>
    <s v="East-Charlie"/>
    <n v="3738.02"/>
  </r>
  <r>
    <n v="1060"/>
    <d v="2023-10-22T00:00:00"/>
    <s v="Bob"/>
    <s v="North"/>
    <n v="2661.25"/>
    <n v="11"/>
    <x v="0"/>
    <n v="3648.04"/>
    <n v="4143.51"/>
    <s v="Returning"/>
    <n v="0.17"/>
    <s v="Credit Card"/>
    <s v="Retail"/>
    <s v="North-Bob"/>
    <n v="5450.1700000000028"/>
  </r>
  <r>
    <n v="1005"/>
    <d v="2023-08-20T00:00:00"/>
    <s v="Bob"/>
    <s v="North"/>
    <n v="4400.59"/>
    <n v="21"/>
    <x v="1"/>
    <n v="4376.37"/>
    <n v="4818.95"/>
    <s v="New"/>
    <n v="0"/>
    <s v="Credit Card"/>
    <s v="Retail"/>
    <s v="North-Bob"/>
    <n v="9294.1799999999985"/>
  </r>
  <r>
    <n v="1068"/>
    <d v="2023-08-15T00:00:00"/>
    <s v="Alice"/>
    <s v="South"/>
    <n v="7262.13"/>
    <n v="21"/>
    <x v="1"/>
    <n v="1142.53"/>
    <n v="1384.3"/>
    <s v="Returning"/>
    <n v="0.02"/>
    <s v="Credit Card"/>
    <s v="Retail"/>
    <s v="South-Alice"/>
    <n v="5077.17"/>
  </r>
  <r>
    <n v="1006"/>
    <d v="2023-11-06T00:00:00"/>
    <s v="Bob"/>
    <s v="South"/>
    <n v="189.64"/>
    <n v="22"/>
    <x v="1"/>
    <n v="834.32"/>
    <n v="1098.97"/>
    <s v="Returning"/>
    <n v="0.17"/>
    <s v="Cash"/>
    <s v="Online"/>
    <s v="South-Bob"/>
    <n v="5822.2999999999993"/>
  </r>
  <r>
    <n v="1096"/>
    <d v="2023-04-08T00:00:00"/>
    <s v="Charlie"/>
    <s v="South"/>
    <n v="5935.59"/>
    <n v="45"/>
    <x v="2"/>
    <n v="357.92"/>
    <n v="461.3"/>
    <s v="Returning"/>
    <n v="0.28000000000000003"/>
    <s v="Cash"/>
    <s v="Online"/>
    <s v="South-Charlie"/>
    <n v="4652.0999999999995"/>
  </r>
  <r>
    <n v="1094"/>
    <d v="2023-02-24T00:00:00"/>
    <s v="Bob"/>
    <s v="West"/>
    <n v="6171.59"/>
    <n v="7"/>
    <x v="0"/>
    <n v="4122.38"/>
    <n v="4358.78"/>
    <s v="Returning"/>
    <n v="0.26"/>
    <s v="Bank Transfer"/>
    <s v="Retail"/>
    <s v="West-Bob"/>
    <n v="1654.7999999999975"/>
  </r>
  <r>
    <n v="1047"/>
    <d v="2023-04-21T00:00:00"/>
    <s v="Eve"/>
    <s v="West"/>
    <n v="6413.11"/>
    <n v="17"/>
    <x v="0"/>
    <n v="1591.34"/>
    <n v="2043.82"/>
    <s v="New"/>
    <n v="0.28999999999999998"/>
    <s v="Cash"/>
    <s v="Retail"/>
    <s v="West-Eve"/>
    <n v="7692.16"/>
  </r>
  <r>
    <n v="1099"/>
    <d v="2023-06-01T00:00:00"/>
    <s v="Alice"/>
    <s v="South"/>
    <n v="2496.02"/>
    <n v="2"/>
    <x v="3"/>
    <n v="2038.4"/>
    <n v="2073.3200000000002"/>
    <s v="New"/>
    <n v="0.16"/>
    <s v="Cash"/>
    <s v="Retail"/>
    <s v="South-Alice"/>
    <n v="69.840000000000146"/>
  </r>
  <r>
    <n v="1055"/>
    <d v="2023-09-03T00:00:00"/>
    <s v="Charlie"/>
    <s v="West"/>
    <n v="7169.12"/>
    <n v="12"/>
    <x v="3"/>
    <n v="2538.61"/>
    <n v="2971.75"/>
    <s v="Returning"/>
    <n v="0.24"/>
    <s v="Cash"/>
    <s v="Online"/>
    <s v="West-Charlie"/>
    <n v="5197.6799999999985"/>
  </r>
  <r>
    <n v="1040"/>
    <d v="2023-03-10T00:00:00"/>
    <s v="Alice"/>
    <s v="East"/>
    <n v="1004.78"/>
    <n v="42"/>
    <x v="3"/>
    <n v="4205.29"/>
    <n v="4382.3500000000004"/>
    <s v="New"/>
    <n v="0.25"/>
    <s v="Cash"/>
    <s v="Retail"/>
    <s v="East-Alice"/>
    <n v="7436.5200000000168"/>
  </r>
  <r>
    <n v="1052"/>
    <d v="2023-11-08T00:00:00"/>
    <s v="Charlie"/>
    <s v="East"/>
    <n v="2072.7800000000002"/>
    <n v="18"/>
    <x v="0"/>
    <n v="3271.62"/>
    <n v="3722.38"/>
    <s v="Returning"/>
    <n v="0.19"/>
    <s v="Bank Transfer"/>
    <s v="Retail"/>
    <s v="East-Charlie"/>
    <n v="8113.6800000000039"/>
  </r>
  <r>
    <n v="1016"/>
    <d v="2023-10-16T00:00:00"/>
    <s v="Eve"/>
    <s v="West"/>
    <n v="8786.9500000000007"/>
    <n v="11"/>
    <x v="3"/>
    <n v="3094.57"/>
    <n v="3565.6"/>
    <s v="Returning"/>
    <n v="0.1"/>
    <s v="Credit Card"/>
    <s v="Retail"/>
    <s v="West-Eve"/>
    <n v="5181.3299999999972"/>
  </r>
  <r>
    <n v="1013"/>
    <d v="2023-09-07T00:00:00"/>
    <s v="Alice"/>
    <s v="West"/>
    <n v="7413.36"/>
    <n v="16"/>
    <x v="0"/>
    <n v="919.58"/>
    <n v="1258.3"/>
    <s v="Returning"/>
    <n v="0.14000000000000001"/>
    <s v="Bank Transfer"/>
    <s v="Online"/>
    <s v="West-Alice"/>
    <n v="5419.5199999999986"/>
  </r>
  <r>
    <n v="1030"/>
    <d v="2023-02-05T00:00:00"/>
    <s v="David"/>
    <s v="East"/>
    <n v="236.08"/>
    <n v="49"/>
    <x v="0"/>
    <n v="2590.29"/>
    <n v="2925.86"/>
    <s v="Returning"/>
    <n v="0.26"/>
    <s v="Cash"/>
    <s v="Retail"/>
    <s v="East-David"/>
    <n v="16442.930000000008"/>
  </r>
  <r>
    <n v="1019"/>
    <d v="2023-08-27T00:00:00"/>
    <s v="Charlie"/>
    <s v="North"/>
    <n v="2558.92"/>
    <n v="18"/>
    <x v="1"/>
    <n v="3591.14"/>
    <n v="3822.99"/>
    <s v="Returning"/>
    <n v="0.09"/>
    <s v="Credit Card"/>
    <s v="Online"/>
    <s v="North-Charlie"/>
    <n v="4173.2999999999984"/>
  </r>
  <r>
    <n v="1017"/>
    <d v="2023-05-28T00:00:00"/>
    <s v="David"/>
    <s v="East"/>
    <n v="2222.62"/>
    <n v="35"/>
    <x v="3"/>
    <n v="4867.6400000000003"/>
    <n v="5287.05"/>
    <s v="Returning"/>
    <n v="0.28000000000000003"/>
    <s v="Credit Card"/>
    <s v="Online"/>
    <s v="East-David"/>
    <n v="14679.349999999995"/>
  </r>
  <r>
    <n v="1063"/>
    <d v="2023-08-15T00:00:00"/>
    <s v="Alice"/>
    <s v="East"/>
    <n v="2780.98"/>
    <n v="26"/>
    <x v="1"/>
    <n v="1046.96"/>
    <n v="1528.15"/>
    <s v="New"/>
    <n v="7.0000000000000007E-2"/>
    <s v="Credit Card"/>
    <s v="Retail"/>
    <s v="East-Alice"/>
    <n v="12510.940000000002"/>
  </r>
  <r>
    <n v="1019"/>
    <d v="2023-09-01T00:00:00"/>
    <s v="David"/>
    <s v="West"/>
    <n v="2550.84"/>
    <n v="16"/>
    <x v="2"/>
    <n v="97.24"/>
    <n v="487.03"/>
    <s v="New"/>
    <n v="0.22"/>
    <s v="Bank Transfer"/>
    <s v="Retail"/>
    <s v="West-David"/>
    <n v="6236.6399999999994"/>
  </r>
  <r>
    <n v="1092"/>
    <d v="2023-12-03T00:00:00"/>
    <s v="David"/>
    <s v="East"/>
    <n v="719.01"/>
    <n v="6"/>
    <x v="2"/>
    <n v="422.74"/>
    <n v="737.49"/>
    <s v="Returning"/>
    <n v="0.19"/>
    <s v="Credit Card"/>
    <s v="Retail"/>
    <s v="East-David"/>
    <n v="1888.5"/>
  </r>
  <r>
    <n v="1058"/>
    <d v="2023-12-31T00:00:00"/>
    <s v="Alice"/>
    <s v="West"/>
    <n v="4643.51"/>
    <n v="44"/>
    <x v="2"/>
    <n v="1910.47"/>
    <n v="2217.8000000000002"/>
    <s v="New"/>
    <n v="0.22"/>
    <s v="Bank Transfer"/>
    <s v="Online"/>
    <s v="West-Alice"/>
    <n v="13522.520000000008"/>
  </r>
  <r>
    <n v="1055"/>
    <d v="2023-07-20T00:00:00"/>
    <s v="Eve"/>
    <s v="West"/>
    <n v="7354.06"/>
    <n v="43"/>
    <x v="0"/>
    <n v="4111.7"/>
    <n v="4537.9399999999996"/>
    <s v="Returning"/>
    <n v="0.13"/>
    <s v="Bank Transfer"/>
    <s v="Online"/>
    <s v="West-Eve"/>
    <n v="18328.319999999992"/>
  </r>
  <r>
    <n v="1090"/>
    <d v="2023-06-03T00:00:00"/>
    <s v="David"/>
    <s v="South"/>
    <n v="6106.64"/>
    <n v="47"/>
    <x v="0"/>
    <n v="85.35"/>
    <n v="360.54"/>
    <s v="New"/>
    <n v="0.28000000000000003"/>
    <s v="Cash"/>
    <s v="Online"/>
    <s v="South-David"/>
    <n v="12933.930000000002"/>
  </r>
  <r>
    <n v="1090"/>
    <d v="2023-03-14T00:00:00"/>
    <s v="David"/>
    <s v="East"/>
    <n v="6761.43"/>
    <n v="47"/>
    <x v="0"/>
    <n v="2310.8200000000002"/>
    <n v="2714.71"/>
    <s v="New"/>
    <n v="0.19"/>
    <s v="Cash"/>
    <s v="Retail"/>
    <s v="East-David"/>
    <n v="18982.829999999994"/>
  </r>
  <r>
    <n v="1062"/>
    <d v="2023-07-20T00:00:00"/>
    <s v="Eve"/>
    <s v="North"/>
    <n v="903.38"/>
    <n v="48"/>
    <x v="3"/>
    <n v="1679.69"/>
    <n v="1939.04"/>
    <s v="New"/>
    <n v="0.09"/>
    <s v="Credit Card"/>
    <s v="Online"/>
    <s v="North-Eve"/>
    <n v="12448.799999999996"/>
  </r>
  <r>
    <n v="1023"/>
    <d v="2023-10-23T00:00:00"/>
    <s v="David"/>
    <s v="South"/>
    <n v="9519.76"/>
    <n v="42"/>
    <x v="1"/>
    <n v="309.77999999999997"/>
    <n v="350.38"/>
    <s v="Returning"/>
    <n v="0.19"/>
    <s v="Credit Card"/>
    <s v="Retail"/>
    <s v="South-David"/>
    <n v="1705.200000000001"/>
  </r>
  <r>
    <n v="1009"/>
    <d v="2023-01-17T00:00:00"/>
    <s v="David"/>
    <s v="West"/>
    <n v="8401.07"/>
    <n v="12"/>
    <x v="0"/>
    <n v="2278.67"/>
    <n v="2476.8000000000002"/>
    <s v="New"/>
    <n v="0.09"/>
    <s v="Cash"/>
    <s v="Retail"/>
    <s v="West-David"/>
    <n v="2377.5600000000013"/>
  </r>
  <r>
    <n v="1012"/>
    <d v="2023-05-09T00:00:00"/>
    <s v="David"/>
    <s v="West"/>
    <n v="8070.39"/>
    <n v="13"/>
    <x v="1"/>
    <n v="1311.01"/>
    <n v="1538.79"/>
    <s v="Returning"/>
    <n v="0.09"/>
    <s v="Bank Transfer"/>
    <s v="Retail"/>
    <s v="West-David"/>
    <n v="2961.1399999999994"/>
  </r>
  <r>
    <n v="1001"/>
    <d v="2023-08-05T00:00:00"/>
    <s v="Bob"/>
    <s v="North"/>
    <n v="8247.5400000000009"/>
    <n v="4"/>
    <x v="1"/>
    <n v="1791.83"/>
    <n v="1871.22"/>
    <s v="Returning"/>
    <n v="0.12"/>
    <s v="Bank Transfer"/>
    <s v="Online"/>
    <s v="North-Bob"/>
    <n v="317.5600000000004"/>
  </r>
  <r>
    <n v="1058"/>
    <d v="2023-03-02T00:00:00"/>
    <s v="Eve"/>
    <s v="West"/>
    <n v="9333.83"/>
    <n v="39"/>
    <x v="1"/>
    <n v="3542.8"/>
    <n v="3603.02"/>
    <s v="Returning"/>
    <n v="0.26"/>
    <s v="Cash"/>
    <s v="Online"/>
    <s v="West-Eve"/>
    <n v="2348.5799999999922"/>
  </r>
  <r>
    <n v="1001"/>
    <d v="2023-04-14T00:00:00"/>
    <s v="David"/>
    <s v="East"/>
    <n v="5488.11"/>
    <n v="2"/>
    <x v="3"/>
    <n v="2631.68"/>
    <n v="2904.06"/>
    <s v="New"/>
    <n v="0.15"/>
    <s v="Bank Transfer"/>
    <s v="Online"/>
    <s v="East-David"/>
    <n v="544.76000000000022"/>
  </r>
  <r>
    <n v="1034"/>
    <d v="2023-02-11T00:00:00"/>
    <s v="Eve"/>
    <s v="South"/>
    <n v="2082.79"/>
    <n v="26"/>
    <x v="3"/>
    <n v="667"/>
    <n v="718.72"/>
    <s v="New"/>
    <n v="0.2"/>
    <s v="Cash"/>
    <s v="Retail"/>
    <s v="South-Eve"/>
    <n v="1344.7200000000007"/>
  </r>
  <r>
    <n v="1096"/>
    <d v="2023-01-25T00:00:00"/>
    <s v="Charlie"/>
    <s v="West"/>
    <n v="6206.16"/>
    <n v="27"/>
    <x v="2"/>
    <n v="4809"/>
    <n v="4967.4399999999996"/>
    <s v="New"/>
    <n v="0.12"/>
    <s v="Cash"/>
    <s v="Online"/>
    <s v="West-Charlie"/>
    <n v="4277.8799999999892"/>
  </r>
  <r>
    <n v="1048"/>
    <d v="2023-02-08T00:00:00"/>
    <s v="Charlie"/>
    <s v="West"/>
    <n v="7454.53"/>
    <n v="27"/>
    <x v="2"/>
    <n v="3197.76"/>
    <n v="3572.61"/>
    <s v="Returning"/>
    <n v="0.08"/>
    <s v="Credit Card"/>
    <s v="Online"/>
    <s v="West-Charlie"/>
    <n v="10120.949999999997"/>
  </r>
  <r>
    <n v="1089"/>
    <d v="2023-10-18T00:00:00"/>
    <s v="David"/>
    <s v="North"/>
    <n v="7405.38"/>
    <n v="15"/>
    <x v="1"/>
    <n v="3841.05"/>
    <n v="4323.62"/>
    <s v="Returning"/>
    <n v="0.28999999999999998"/>
    <s v="Credit Card"/>
    <s v="Retail"/>
    <s v="North-David"/>
    <n v="7238.5499999999956"/>
  </r>
  <r>
    <n v="1001"/>
    <d v="2023-05-11T00:00:00"/>
    <s v="Eve"/>
    <s v="East"/>
    <n v="5262.35"/>
    <n v="8"/>
    <x v="2"/>
    <n v="442.11"/>
    <n v="803.87"/>
    <s v="New"/>
    <n v="0.18"/>
    <s v="Cash"/>
    <s v="Retail"/>
    <s v="East-Eve"/>
    <n v="2894.08"/>
  </r>
  <r>
    <n v="1016"/>
    <d v="2023-08-17T00:00:00"/>
    <s v="Eve"/>
    <s v="West"/>
    <n v="777.74"/>
    <n v="7"/>
    <x v="1"/>
    <n v="282.94"/>
    <n v="779.33"/>
    <s v="Returning"/>
    <n v="0.28000000000000003"/>
    <s v="Credit Card"/>
    <s v="Online"/>
    <s v="West-Eve"/>
    <n v="3474.7300000000005"/>
  </r>
  <r>
    <n v="1061"/>
    <d v="2023-04-18T00:00:00"/>
    <s v="Eve"/>
    <s v="North"/>
    <n v="3774.02"/>
    <n v="47"/>
    <x v="3"/>
    <n v="146.27000000000001"/>
    <n v="498.46"/>
    <s v="New"/>
    <n v="0.06"/>
    <s v="Cash"/>
    <s v="Retail"/>
    <s v="North-Eve"/>
    <n v="16552.929999999997"/>
  </r>
  <r>
    <n v="1064"/>
    <d v="2023-06-21T00:00:00"/>
    <s v="Bob"/>
    <s v="West"/>
    <n v="9215.59"/>
    <n v="46"/>
    <x v="3"/>
    <n v="984.53"/>
    <n v="1138.49"/>
    <s v="New"/>
    <n v="0.04"/>
    <s v="Bank Transfer"/>
    <s v="Online"/>
    <s v="West-Bob"/>
    <n v="7082.1600000000017"/>
  </r>
  <r>
    <n v="1063"/>
    <d v="2023-04-12T00:00:00"/>
    <s v="Charlie"/>
    <s v="North"/>
    <n v="5886.04"/>
    <n v="40"/>
    <x v="3"/>
    <n v="2101.3200000000002"/>
    <n v="2440.63"/>
    <s v="New"/>
    <n v="0.26"/>
    <s v="Bank Transfer"/>
    <s v="Retail"/>
    <s v="North-Charlie"/>
    <n v="13572.399999999998"/>
  </r>
  <r>
    <n v="1069"/>
    <d v="2023-12-20T00:00:00"/>
    <s v="Eve"/>
    <s v="North"/>
    <n v="5429.49"/>
    <n v="12"/>
    <x v="0"/>
    <n v="4682.34"/>
    <n v="5036.3999999999996"/>
    <s v="New"/>
    <n v="0.2"/>
    <s v="Bank Transfer"/>
    <s v="Retail"/>
    <s v="North-Eve"/>
    <n v="4248.7199999999939"/>
  </r>
  <r>
    <n v="1022"/>
    <d v="2023-01-12T00:00:00"/>
    <s v="Eve"/>
    <s v="East"/>
    <n v="2761.65"/>
    <n v="13"/>
    <x v="1"/>
    <n v="2312.4499999999998"/>
    <n v="2504.6"/>
    <s v="Returning"/>
    <n v="0.06"/>
    <s v="Bank Transfer"/>
    <s v="Online"/>
    <s v="East-Eve"/>
    <n v="2497.9500000000012"/>
  </r>
  <r>
    <n v="1093"/>
    <d v="2023-10-02T00:00:00"/>
    <s v="Bob"/>
    <s v="West"/>
    <n v="3747.64"/>
    <n v="43"/>
    <x v="3"/>
    <n v="1486.76"/>
    <n v="1505.44"/>
    <s v="New"/>
    <n v="0.08"/>
    <s v="Cash"/>
    <s v="Retail"/>
    <s v="West-Bob"/>
    <n v="803.24000000000274"/>
  </r>
  <r>
    <n v="1067"/>
    <d v="2023-04-11T00:00:00"/>
    <s v="Bob"/>
    <s v="East"/>
    <n v="8963.93"/>
    <n v="17"/>
    <x v="1"/>
    <n v="2831.58"/>
    <n v="3186.15"/>
    <s v="New"/>
    <n v="0.24"/>
    <s v="Bank Transfer"/>
    <s v="Retail"/>
    <s v="East-Bob"/>
    <n v="6027.6900000000023"/>
  </r>
  <r>
    <n v="1076"/>
    <d v="2023-02-13T00:00:00"/>
    <s v="Eve"/>
    <s v="North"/>
    <n v="6697.98"/>
    <n v="17"/>
    <x v="2"/>
    <n v="604.08000000000004"/>
    <n v="624.71"/>
    <s v="New"/>
    <n v="0.14000000000000001"/>
    <s v="Bank Transfer"/>
    <s v="Retail"/>
    <s v="North-Eve"/>
    <n v="350.70999999999992"/>
  </r>
  <r>
    <n v="1026"/>
    <d v="2023-11-01T00:00:00"/>
    <s v="Alice"/>
    <s v="South"/>
    <n v="7895.13"/>
    <n v="36"/>
    <x v="2"/>
    <n v="3067.05"/>
    <n v="3386.33"/>
    <s v="New"/>
    <n v="0.2"/>
    <s v="Bank Transfer"/>
    <s v="Online"/>
    <s v="South-Alice"/>
    <n v="11494.079999999991"/>
  </r>
  <r>
    <n v="1016"/>
    <d v="2023-01-17T00:00:00"/>
    <s v="Eve"/>
    <s v="West"/>
    <n v="4598.0200000000004"/>
    <n v="21"/>
    <x v="3"/>
    <n v="2863.74"/>
    <n v="2953.91"/>
    <s v="New"/>
    <n v="0.1"/>
    <s v="Bank Transfer"/>
    <s v="Retail"/>
    <s v="West-Eve"/>
    <n v="1893.5700000000015"/>
  </r>
  <r>
    <n v="1051"/>
    <d v="2023-11-26T00:00:00"/>
    <s v="Eve"/>
    <s v="South"/>
    <n v="6339.45"/>
    <n v="8"/>
    <x v="1"/>
    <n v="3970.37"/>
    <n v="4257.5200000000004"/>
    <s v="New"/>
    <n v="0.11"/>
    <s v="Cash"/>
    <s v="Retail"/>
    <s v="South-Eve"/>
    <n v="2297.2000000000044"/>
  </r>
  <r>
    <n v="1086"/>
    <d v="2023-02-26T00:00:00"/>
    <s v="Bob"/>
    <s v="West"/>
    <n v="2559"/>
    <n v="5"/>
    <x v="3"/>
    <n v="4934.1000000000004"/>
    <n v="5191.0200000000004"/>
    <s v="New"/>
    <n v="0.3"/>
    <s v="Bank Transfer"/>
    <s v="Online"/>
    <s v="West-Bob"/>
    <n v="1284.6000000000004"/>
  </r>
  <r>
    <n v="1057"/>
    <d v="2023-11-07T00:00:00"/>
    <s v="Bob"/>
    <s v="East"/>
    <n v="7084.06"/>
    <n v="26"/>
    <x v="2"/>
    <n v="1291.82"/>
    <n v="1308.44"/>
    <s v="Returning"/>
    <n v="7.0000000000000007E-2"/>
    <s v="Credit Card"/>
    <s v="Online"/>
    <s v="East-Bob"/>
    <n v="432.12000000000307"/>
  </r>
  <r>
    <n v="1029"/>
    <d v="2023-10-30T00:00:00"/>
    <s v="Eve"/>
    <s v="East"/>
    <n v="4333.25"/>
    <n v="16"/>
    <x v="3"/>
    <n v="2572.8000000000002"/>
    <n v="2760.6"/>
    <s v="Returning"/>
    <n v="0.15"/>
    <s v="Credit Card"/>
    <s v="Retail"/>
    <s v="East-Eve"/>
    <n v="3004.7999999999956"/>
  </r>
  <r>
    <n v="1078"/>
    <d v="2023-01-12T00:00:00"/>
    <s v="Eve"/>
    <s v="East"/>
    <n v="4481.2"/>
    <n v="36"/>
    <x v="1"/>
    <n v="4548.88"/>
    <n v="4853.41"/>
    <s v="Returning"/>
    <n v="0.25"/>
    <s v="Credit Card"/>
    <s v="Retail"/>
    <s v="East-Eve"/>
    <n v="10963.079999999991"/>
  </r>
  <r>
    <n v="1092"/>
    <d v="2023-11-14T00:00:00"/>
    <s v="Eve"/>
    <s v="East"/>
    <n v="6528.29"/>
    <n v="28"/>
    <x v="2"/>
    <n v="3936.69"/>
    <n v="4362.51"/>
    <s v="Returning"/>
    <n v="7.0000000000000007E-2"/>
    <s v="Credit Card"/>
    <s v="Retail"/>
    <s v="East-Eve"/>
    <n v="11922.960000000005"/>
  </r>
  <r>
    <n v="1069"/>
    <d v="2023-03-21T00:00:00"/>
    <s v="Bob"/>
    <s v="East"/>
    <n v="9369.18"/>
    <n v="29"/>
    <x v="0"/>
    <n v="2462.66"/>
    <n v="2908.09"/>
    <s v="New"/>
    <n v="0.12"/>
    <s v="Credit Card"/>
    <s v="Online"/>
    <s v="East-Bob"/>
    <n v="12917.470000000008"/>
  </r>
  <r>
    <n v="1047"/>
    <d v="2023-08-04T00:00:00"/>
    <s v="Eve"/>
    <s v="South"/>
    <n v="733.66"/>
    <n v="47"/>
    <x v="2"/>
    <n v="4729.59"/>
    <n v="4976.68"/>
    <s v="Returning"/>
    <n v="0.18"/>
    <s v="Credit Card"/>
    <s v="Retail"/>
    <s v="South-Eve"/>
    <n v="11613.230000000007"/>
  </r>
  <r>
    <n v="1094"/>
    <d v="2023-12-05T00:00:00"/>
    <s v="Eve"/>
    <s v="East"/>
    <n v="8264.9599999999991"/>
    <n v="12"/>
    <x v="0"/>
    <n v="333.32"/>
    <n v="700.25"/>
    <s v="Returning"/>
    <n v="0.14000000000000001"/>
    <s v="Cash"/>
    <s v="Online"/>
    <s v="East-Eve"/>
    <n v="4403.16"/>
  </r>
  <r>
    <n v="1062"/>
    <d v="2023-09-21T00:00:00"/>
    <s v="David"/>
    <s v="North"/>
    <n v="2994.59"/>
    <n v="37"/>
    <x v="3"/>
    <n v="4658.4399999999996"/>
    <n v="4823.5"/>
    <s v="Returning"/>
    <n v="0.14000000000000001"/>
    <s v="Credit Card"/>
    <s v="Online"/>
    <s v="North-David"/>
    <n v="6107.2200000000148"/>
  </r>
  <r>
    <n v="1069"/>
    <d v="2023-05-29T00:00:00"/>
    <s v="Alice"/>
    <s v="North"/>
    <n v="4494.8"/>
    <n v="30"/>
    <x v="3"/>
    <n v="300.01"/>
    <n v="477.68"/>
    <s v="New"/>
    <n v="0.11"/>
    <s v="Bank Transfer"/>
    <s v="Retail"/>
    <s v="North-Alice"/>
    <n v="5330.1"/>
  </r>
  <r>
    <n v="1076"/>
    <d v="2023-03-22T00:00:00"/>
    <s v="Charlie"/>
    <s v="South"/>
    <n v="316.94"/>
    <n v="23"/>
    <x v="1"/>
    <n v="2759.16"/>
    <n v="2864.45"/>
    <s v="Returning"/>
    <n v="0.18"/>
    <s v="Credit Card"/>
    <s v="Retail"/>
    <s v="South-Charlie"/>
    <n v="2421.6699999999992"/>
  </r>
  <r>
    <n v="1016"/>
    <d v="2023-08-03T00:00:00"/>
    <s v="Alice"/>
    <s v="West"/>
    <n v="3080.36"/>
    <n v="16"/>
    <x v="0"/>
    <n v="4457.68"/>
    <n v="4743.03"/>
    <s v="Returning"/>
    <n v="0.19"/>
    <s v="Cash"/>
    <s v="Online"/>
    <s v="West-Alice"/>
    <n v="4565.5999999999913"/>
  </r>
  <r>
    <n v="1090"/>
    <d v="2023-07-17T00:00:00"/>
    <s v="David"/>
    <s v="North"/>
    <n v="5076.05"/>
    <n v="14"/>
    <x v="3"/>
    <n v="1350.47"/>
    <n v="1514.61"/>
    <s v="New"/>
    <n v="0.2"/>
    <s v="Credit Card"/>
    <s v="Retail"/>
    <s v="North-David"/>
    <n v="2297.9599999999982"/>
  </r>
  <r>
    <n v="1090"/>
    <d v="2023-07-19T00:00:00"/>
    <s v="Charlie"/>
    <s v="West"/>
    <n v="656.14"/>
    <n v="10"/>
    <x v="0"/>
    <n v="2387.63"/>
    <n v="2438.9699999999998"/>
    <s v="Returning"/>
    <n v="0.02"/>
    <s v="Bank Transfer"/>
    <s v="Retail"/>
    <s v="West-Charlie"/>
    <n v="513.39999999999691"/>
  </r>
  <r>
    <n v="1048"/>
    <d v="2023-01-25T00:00:00"/>
    <s v="Eve"/>
    <s v="South"/>
    <n v="4961.8500000000004"/>
    <n v="7"/>
    <x v="3"/>
    <n v="1655.43"/>
    <n v="2001.08"/>
    <s v="New"/>
    <n v="0.19"/>
    <s v="Bank Transfer"/>
    <s v="Online"/>
    <s v="South-Eve"/>
    <n v="2419.5499999999993"/>
  </r>
  <r>
    <n v="1085"/>
    <d v="2023-03-30T00:00:00"/>
    <s v="David"/>
    <s v="West"/>
    <n v="9278.4"/>
    <n v="45"/>
    <x v="2"/>
    <n v="4763.1099999999997"/>
    <n v="5119.91"/>
    <s v="Returning"/>
    <n v="0.28999999999999998"/>
    <s v="Cash"/>
    <s v="Retail"/>
    <s v="West-David"/>
    <n v="16056.000000000007"/>
  </r>
  <r>
    <n v="1039"/>
    <d v="2023-09-25T00:00:00"/>
    <s v="Eve"/>
    <s v="West"/>
    <n v="1143.3900000000001"/>
    <n v="37"/>
    <x v="3"/>
    <n v="4127.05"/>
    <n v="4313.45"/>
    <s v="New"/>
    <n v="0.16"/>
    <s v="Cash"/>
    <s v="Online"/>
    <s v="West-Eve"/>
    <n v="6896.7999999999865"/>
  </r>
  <r>
    <n v="1100"/>
    <d v="2023-05-23T00:00:00"/>
    <s v="Bob"/>
    <s v="West"/>
    <n v="7667.96"/>
    <n v="29"/>
    <x v="1"/>
    <n v="3559.56"/>
    <n v="3607.15"/>
    <s v="Returning"/>
    <n v="0.21"/>
    <s v="Cash"/>
    <s v="Retail"/>
    <s v="West-Bob"/>
    <n v="1380.1100000000042"/>
  </r>
  <r>
    <n v="1033"/>
    <d v="2023-02-28T00:00:00"/>
    <s v="David"/>
    <s v="West"/>
    <n v="4155.74"/>
    <n v="3"/>
    <x v="2"/>
    <n v="2958.75"/>
    <n v="3177.64"/>
    <s v="Returning"/>
    <n v="0.17"/>
    <s v="Cash"/>
    <s v="Online"/>
    <s v="West-David"/>
    <n v="656.66999999999962"/>
  </r>
  <r>
    <n v="1094"/>
    <d v="2023-12-31T00:00:00"/>
    <s v="Bob"/>
    <s v="South"/>
    <n v="6586.22"/>
    <n v="15"/>
    <x v="1"/>
    <n v="4111.93"/>
    <n v="4338.67"/>
    <s v="Returning"/>
    <n v="0.26"/>
    <s v="Credit Card"/>
    <s v="Online"/>
    <s v="South-Bob"/>
    <n v="3401.0999999999967"/>
  </r>
  <r>
    <n v="1023"/>
    <d v="2023-01-26T00:00:00"/>
    <s v="David"/>
    <s v="North"/>
    <n v="2676.34"/>
    <n v="36"/>
    <x v="2"/>
    <n v="1991.72"/>
    <n v="2329.37"/>
    <s v="New"/>
    <n v="0.28000000000000003"/>
    <s v="Credit Card"/>
    <s v="Retail"/>
    <s v="North-David"/>
    <n v="12155.399999999994"/>
  </r>
  <r>
    <n v="1010"/>
    <d v="2023-02-16T00:00:00"/>
    <s v="David"/>
    <s v="East"/>
    <n v="1678.97"/>
    <n v="47"/>
    <x v="0"/>
    <n v="2265.38"/>
    <n v="2429.9299999999998"/>
    <s v="Returning"/>
    <n v="0.06"/>
    <s v="Bank Transfer"/>
    <s v="Online"/>
    <s v="East-David"/>
    <n v="7733.8499999999876"/>
  </r>
  <r>
    <n v="1069"/>
    <d v="2023-10-15T00:00:00"/>
    <s v="Bob"/>
    <s v="West"/>
    <n v="1688.58"/>
    <n v="46"/>
    <x v="1"/>
    <n v="3663.51"/>
    <n v="4007.98"/>
    <s v="New"/>
    <n v="0.13"/>
    <s v="Cash"/>
    <s v="Online"/>
    <s v="West-Bob"/>
    <n v="15845.619999999992"/>
  </r>
  <r>
    <n v="1100"/>
    <d v="2023-09-23T00:00:00"/>
    <s v="Charlie"/>
    <s v="North"/>
    <n v="797.87"/>
    <n v="19"/>
    <x v="3"/>
    <n v="1820.89"/>
    <n v="2257.92"/>
    <s v="New"/>
    <n v="0.12"/>
    <s v="Cash"/>
    <s v="Retail"/>
    <s v="North-Charlie"/>
    <n v="8303.57"/>
  </r>
  <r>
    <n v="1034"/>
    <d v="2023-01-16T00:00:00"/>
    <s v="Alice"/>
    <s v="North"/>
    <n v="1937.9"/>
    <n v="13"/>
    <x v="0"/>
    <n v="366.31"/>
    <n v="492.68"/>
    <s v="New"/>
    <n v="0.12"/>
    <s v="Credit Card"/>
    <s v="Retail"/>
    <s v="North-Alice"/>
    <n v="1642.81"/>
  </r>
  <r>
    <n v="1052"/>
    <d v="2023-07-18T00:00:00"/>
    <s v="Eve"/>
    <s v="South"/>
    <n v="6675.77"/>
    <n v="42"/>
    <x v="3"/>
    <n v="417.96"/>
    <n v="907.63"/>
    <s v="New"/>
    <n v="0.04"/>
    <s v="Cash"/>
    <s v="Retail"/>
    <s v="South-Eve"/>
    <n v="20566.14"/>
  </r>
  <r>
    <n v="1095"/>
    <d v="2023-10-09T00:00:00"/>
    <s v="David"/>
    <s v="North"/>
    <n v="8828.74"/>
    <n v="21"/>
    <x v="2"/>
    <n v="621.04999999999995"/>
    <n v="820.37"/>
    <s v="Returning"/>
    <n v="0.24"/>
    <s v="Bank Transfer"/>
    <s v="Online"/>
    <s v="North-David"/>
    <n v="4185.7200000000012"/>
  </r>
  <r>
    <n v="1010"/>
    <d v="2023-03-27T00:00:00"/>
    <s v="Eve"/>
    <s v="South"/>
    <n v="8159.84"/>
    <n v="37"/>
    <x v="2"/>
    <n v="4354.92"/>
    <n v="4495.88"/>
    <s v="Returning"/>
    <n v="0.01"/>
    <s v="Bank Transfer"/>
    <s v="Online"/>
    <s v="South-Eve"/>
    <n v="5215.5200000000013"/>
  </r>
  <r>
    <n v="1019"/>
    <d v="2023-09-07T00:00:00"/>
    <s v="Bob"/>
    <s v="West"/>
    <n v="6882.83"/>
    <n v="27"/>
    <x v="3"/>
    <n v="2387.52"/>
    <n v="2604.06"/>
    <s v="Returning"/>
    <n v="0.16"/>
    <s v="Cash"/>
    <s v="Online"/>
    <s v="West-Bob"/>
    <n v="5846.579999999999"/>
  </r>
  <r>
    <n v="1058"/>
    <d v="2023-09-27T00:00:00"/>
    <s v="Eve"/>
    <s v="West"/>
    <n v="1193.28"/>
    <n v="29"/>
    <x v="3"/>
    <n v="3578.77"/>
    <n v="3635.02"/>
    <s v="New"/>
    <n v="0.2"/>
    <s v="Bank Transfer"/>
    <s v="Retail"/>
    <s v="West-Eve"/>
    <n v="1631.25"/>
  </r>
  <r>
    <n v="1096"/>
    <d v="2023-12-01T00:00:00"/>
    <s v="Bob"/>
    <s v="East"/>
    <n v="2962.96"/>
    <n v="20"/>
    <x v="0"/>
    <n v="1994.9"/>
    <n v="2066.5"/>
    <s v="Returning"/>
    <n v="0.06"/>
    <s v="Bank Transfer"/>
    <s v="Online"/>
    <s v="East-Bob"/>
    <n v="1431.9999999999982"/>
  </r>
  <r>
    <n v="1001"/>
    <d v="2023-04-27T00:00:00"/>
    <s v="Eve"/>
    <s v="East"/>
    <n v="3167.09"/>
    <n v="25"/>
    <x v="3"/>
    <n v="1330.62"/>
    <n v="1543.69"/>
    <s v="New"/>
    <n v="0.27"/>
    <s v="Credit Card"/>
    <s v="Online"/>
    <s v="East-Eve"/>
    <n v="5326.7500000000036"/>
  </r>
  <r>
    <n v="1069"/>
    <d v="2023-01-07T00:00:00"/>
    <s v="Alice"/>
    <s v="East"/>
    <n v="2574.5700000000002"/>
    <n v="6"/>
    <x v="1"/>
    <n v="1768.6"/>
    <n v="2152.1999999999998"/>
    <s v="New"/>
    <n v="0.25"/>
    <s v="Bank Transfer"/>
    <s v="Retail"/>
    <s v="East-Alice"/>
    <n v="2301.5999999999995"/>
  </r>
  <r>
    <n v="1004"/>
    <d v="2023-05-17T00:00:00"/>
    <s v="Alice"/>
    <s v="North"/>
    <n v="5198.5600000000004"/>
    <n v="36"/>
    <x v="1"/>
    <n v="3981.2"/>
    <n v="4432.3500000000004"/>
    <s v="New"/>
    <n v="0.14000000000000001"/>
    <s v="Cash"/>
    <s v="Online"/>
    <s v="North-Alice"/>
    <n v="16241.40000000002"/>
  </r>
  <r>
    <n v="1016"/>
    <d v="2023-06-25T00:00:00"/>
    <s v="Alice"/>
    <s v="West"/>
    <n v="5401.98"/>
    <n v="2"/>
    <x v="3"/>
    <n v="3144.82"/>
    <n v="3480.58"/>
    <s v="Returning"/>
    <n v="0.12"/>
    <s v="Cash"/>
    <s v="Retail"/>
    <s v="West-Alice"/>
    <n v="671.51999999999953"/>
  </r>
  <r>
    <n v="1024"/>
    <d v="2023-11-24T00:00:00"/>
    <s v="Alice"/>
    <s v="South"/>
    <n v="3633.17"/>
    <n v="22"/>
    <x v="1"/>
    <n v="4691.32"/>
    <n v="4752.88"/>
    <s v="Returning"/>
    <n v="7.0000000000000007E-2"/>
    <s v="Bank Transfer"/>
    <s v="Retail"/>
    <s v="South-Alice"/>
    <n v="1354.3200000000088"/>
  </r>
  <r>
    <n v="1080"/>
    <d v="2023-11-11T00:00:00"/>
    <s v="Alice"/>
    <s v="East"/>
    <n v="3602.51"/>
    <n v="32"/>
    <x v="3"/>
    <n v="3414.54"/>
    <n v="3753.83"/>
    <s v="New"/>
    <n v="0.22"/>
    <s v="Cash"/>
    <s v="Retail"/>
    <s v="East-Alice"/>
    <n v="10857.279999999999"/>
  </r>
  <r>
    <n v="1002"/>
    <d v="2023-08-03T00:00:00"/>
    <s v="Alice"/>
    <s v="South"/>
    <n v="8302.7000000000007"/>
    <n v="16"/>
    <x v="0"/>
    <n v="2872.4"/>
    <n v="3193.76"/>
    <s v="Returning"/>
    <n v="0.04"/>
    <s v="Credit Card"/>
    <s v="Online"/>
    <s v="South-Alice"/>
    <n v="5141.760000000002"/>
  </r>
  <r>
    <n v="1092"/>
    <d v="2023-03-23T00:00:00"/>
    <s v="Bob"/>
    <s v="South"/>
    <n v="7914"/>
    <n v="18"/>
    <x v="1"/>
    <n v="3070.47"/>
    <n v="3475.29"/>
    <s v="Returning"/>
    <n v="0.2"/>
    <s v="Bank Transfer"/>
    <s v="Online"/>
    <s v="South-Bob"/>
    <n v="7286.7600000000029"/>
  </r>
  <r>
    <n v="1032"/>
    <d v="2023-08-11T00:00:00"/>
    <s v="David"/>
    <s v="East"/>
    <n v="3147.18"/>
    <n v="5"/>
    <x v="1"/>
    <n v="4714.74"/>
    <n v="5129.1099999999997"/>
    <s v="New"/>
    <n v="0.25"/>
    <s v="Bank Transfer"/>
    <s v="Online"/>
    <s v="East-David"/>
    <n v="2071.8499999999995"/>
  </r>
  <r>
    <n v="1091"/>
    <d v="2023-04-13T00:00:00"/>
    <s v="Eve"/>
    <s v="West"/>
    <n v="9146.51"/>
    <n v="36"/>
    <x v="3"/>
    <n v="3951.59"/>
    <n v="4387.01"/>
    <s v="New"/>
    <n v="7.0000000000000007E-2"/>
    <s v="Bank Transfer"/>
    <s v="Retail"/>
    <s v="West-Eve"/>
    <n v="15675.120000000003"/>
  </r>
  <r>
    <n v="1084"/>
    <d v="2023-09-30T00:00:00"/>
    <s v="Alice"/>
    <s v="East"/>
    <n v="9532.8700000000008"/>
    <n v="30"/>
    <x v="1"/>
    <n v="169"/>
    <n v="381.92"/>
    <s v="Returning"/>
    <n v="0.26"/>
    <s v="Cash"/>
    <s v="Retail"/>
    <s v="East-Alice"/>
    <n v="6387.6"/>
  </r>
  <r>
    <n v="1024"/>
    <d v="2023-01-14T00:00:00"/>
    <s v="Bob"/>
    <s v="South"/>
    <n v="3334.75"/>
    <n v="45"/>
    <x v="2"/>
    <n v="2693.99"/>
    <n v="3045.94"/>
    <s v="New"/>
    <n v="0.01"/>
    <s v="Cash"/>
    <s v="Retail"/>
    <s v="South-Bob"/>
    <n v="15837.750000000013"/>
  </r>
  <r>
    <n v="1012"/>
    <d v="2023-06-08T00:00:00"/>
    <s v="Bob"/>
    <s v="East"/>
    <n v="3608.81"/>
    <n v="19"/>
    <x v="0"/>
    <n v="3457.28"/>
    <n v="3598.72"/>
    <s v="New"/>
    <n v="0.27"/>
    <s v="Bank Transfer"/>
    <s v="Online"/>
    <s v="East-Bob"/>
    <n v="2687.3599999999924"/>
  </r>
  <r>
    <n v="1050"/>
    <d v="2023-06-01T00:00:00"/>
    <s v="Bob"/>
    <s v="South"/>
    <n v="5105.78"/>
    <n v="23"/>
    <x v="0"/>
    <n v="3756.06"/>
    <n v="4255.7299999999996"/>
    <s v="Returning"/>
    <n v="0.04"/>
    <s v="Cash"/>
    <s v="Online"/>
    <s v="South-Bob"/>
    <n v="11492.409999999991"/>
  </r>
  <r>
    <n v="1035"/>
    <d v="2023-04-18T00:00:00"/>
    <s v="David"/>
    <s v="South"/>
    <n v="9417.1"/>
    <n v="34"/>
    <x v="1"/>
    <n v="1105.05"/>
    <n v="1200.96"/>
    <s v="Returning"/>
    <n v="0.19"/>
    <s v="Cash"/>
    <s v="Online"/>
    <s v="South-David"/>
    <n v="3260.9400000000028"/>
  </r>
  <r>
    <n v="1033"/>
    <d v="2023-07-07T00:00:00"/>
    <s v="Eve"/>
    <s v="East"/>
    <n v="8775.56"/>
    <n v="13"/>
    <x v="1"/>
    <n v="4342.53"/>
    <n v="4357.49"/>
    <s v="New"/>
    <n v="0.08"/>
    <s v="Bank Transfer"/>
    <s v="Online"/>
    <s v="East-Eve"/>
    <n v="194.48000000000047"/>
  </r>
  <r>
    <n v="1033"/>
    <d v="2023-10-28T00:00:00"/>
    <s v="David"/>
    <s v="North"/>
    <n v="1115.42"/>
    <n v="43"/>
    <x v="2"/>
    <n v="4781.42"/>
    <n v="4864.34"/>
    <s v="Returning"/>
    <n v="0.25"/>
    <s v="Bank Transfer"/>
    <s v="Online"/>
    <s v="North-David"/>
    <n v="3565.5600000000031"/>
  </r>
  <r>
    <n v="1061"/>
    <d v="2023-04-08T00:00:00"/>
    <s v="Charlie"/>
    <s v="East"/>
    <n v="3988.03"/>
    <n v="29"/>
    <x v="2"/>
    <n v="1221.74"/>
    <n v="1611.92"/>
    <s v="New"/>
    <n v="0.15"/>
    <s v="Cash"/>
    <s v="Retail"/>
    <s v="East-Charlie"/>
    <n v="11315.220000000001"/>
  </r>
  <r>
    <n v="1051"/>
    <d v="2023-05-11T00:00:00"/>
    <s v="Bob"/>
    <s v="North"/>
    <n v="5578.37"/>
    <n v="36"/>
    <x v="1"/>
    <n v="4418.95"/>
    <n v="4647.87"/>
    <s v="New"/>
    <n v="0.04"/>
    <s v="Bank Transfer"/>
    <s v="Online"/>
    <s v="North-Bob"/>
    <n v="8241.1200000000026"/>
  </r>
  <r>
    <n v="1043"/>
    <d v="2023-10-20T00:00:00"/>
    <s v="Charlie"/>
    <s v="South"/>
    <n v="5081.01"/>
    <n v="22"/>
    <x v="1"/>
    <n v="530.04"/>
    <n v="759.32"/>
    <s v="Returning"/>
    <n v="0.17"/>
    <s v="Bank Transfer"/>
    <s v="Retail"/>
    <s v="South-Charlie"/>
    <n v="5044.1600000000017"/>
  </r>
  <r>
    <n v="1012"/>
    <d v="2023-06-20T00:00:00"/>
    <s v="Alice"/>
    <s v="South"/>
    <n v="2019.24"/>
    <n v="47"/>
    <x v="2"/>
    <n v="325.75"/>
    <n v="803.71"/>
    <s v="New"/>
    <n v="0.12"/>
    <s v="Bank Transfer"/>
    <s v="Retail"/>
    <s v="South-Alice"/>
    <n v="22464.120000000003"/>
  </r>
  <r>
    <n v="1067"/>
    <d v="2023-07-02T00:00:00"/>
    <s v="Alice"/>
    <s v="North"/>
    <n v="8602.2900000000009"/>
    <n v="36"/>
    <x v="3"/>
    <n v="689.66"/>
    <n v="1150.28"/>
    <s v="New"/>
    <n v="0.2"/>
    <s v="Bank Transfer"/>
    <s v="Online"/>
    <s v="North-Alice"/>
    <n v="16582.32"/>
  </r>
  <r>
    <n v="1065"/>
    <d v="2023-12-30T00:00:00"/>
    <s v="David"/>
    <s v="South"/>
    <n v="6801.71"/>
    <n v="9"/>
    <x v="2"/>
    <n v="335.82"/>
    <n v="498.31"/>
    <s v="New"/>
    <n v="0.26"/>
    <s v="Cash"/>
    <s v="Retail"/>
    <s v="South-David"/>
    <n v="1462.41"/>
  </r>
  <r>
    <n v="1033"/>
    <d v="2023-02-08T00:00:00"/>
    <s v="Eve"/>
    <s v="North"/>
    <n v="8395.2900000000009"/>
    <n v="39"/>
    <x v="3"/>
    <n v="4232.8100000000004"/>
    <n v="4345.25"/>
    <s v="Returning"/>
    <n v="0.12"/>
    <s v="Bank Transfer"/>
    <s v="Online"/>
    <s v="North-Eve"/>
    <n v="4385.1599999999844"/>
  </r>
  <r>
    <n v="1040"/>
    <d v="2023-01-15T00:00:00"/>
    <s v="Charlie"/>
    <s v="North"/>
    <n v="8601.77"/>
    <n v="19"/>
    <x v="0"/>
    <n v="342.3"/>
    <n v="768.06"/>
    <s v="Returning"/>
    <n v="0.09"/>
    <s v="Credit Card"/>
    <s v="Online"/>
    <s v="North-Charlie"/>
    <n v="8089.4399999999987"/>
  </r>
  <r>
    <n v="1074"/>
    <d v="2023-01-04T00:00:00"/>
    <s v="Eve"/>
    <s v="South"/>
    <n v="7508.72"/>
    <n v="38"/>
    <x v="0"/>
    <n v="1394.74"/>
    <n v="1848.69"/>
    <s v="Returning"/>
    <n v="0"/>
    <s v="Bank Transfer"/>
    <s v="Retail"/>
    <s v="South-Eve"/>
    <n v="17250.100000000002"/>
  </r>
  <r>
    <n v="1043"/>
    <d v="2023-12-15T00:00:00"/>
    <s v="David"/>
    <s v="West"/>
    <n v="4448.18"/>
    <n v="6"/>
    <x v="2"/>
    <n v="563.59"/>
    <n v="838.97"/>
    <s v="New"/>
    <n v="0.17"/>
    <s v="Credit Card"/>
    <s v="Online"/>
    <s v="West-David"/>
    <n v="1652.28"/>
  </r>
  <r>
    <n v="1044"/>
    <d v="2023-07-29T00:00:00"/>
    <s v="Alice"/>
    <s v="North"/>
    <n v="6144.41"/>
    <n v="47"/>
    <x v="3"/>
    <n v="1512.34"/>
    <n v="1830.76"/>
    <s v="New"/>
    <n v="0.12"/>
    <s v="Bank Transfer"/>
    <s v="Online"/>
    <s v="North-Alice"/>
    <n v="14965.740000000003"/>
  </r>
  <r>
    <n v="1029"/>
    <d v="2023-06-10T00:00:00"/>
    <s v="Eve"/>
    <s v="East"/>
    <n v="1687.62"/>
    <n v="15"/>
    <x v="2"/>
    <n v="498.27"/>
    <n v="634.16"/>
    <s v="Returning"/>
    <n v="0.11"/>
    <s v="Credit Card"/>
    <s v="Retail"/>
    <s v="East-Eve"/>
    <n v="2038.35"/>
  </r>
  <r>
    <n v="1013"/>
    <d v="2023-01-16T00:00:00"/>
    <s v="Eve"/>
    <s v="East"/>
    <n v="6769.09"/>
    <n v="20"/>
    <x v="2"/>
    <n v="3356.62"/>
    <n v="3759.01"/>
    <s v="Returning"/>
    <n v="0.05"/>
    <s v="Credit Card"/>
    <s v="Retail"/>
    <s v="East-Eve"/>
    <n v="8047.8000000000065"/>
  </r>
  <r>
    <n v="1012"/>
    <d v="2023-04-18T00:00:00"/>
    <s v="Alice"/>
    <s v="South"/>
    <n v="1874.61"/>
    <n v="9"/>
    <x v="3"/>
    <n v="709.97"/>
    <n v="1029.71"/>
    <s v="Returning"/>
    <n v="0.13"/>
    <s v="Bank Transfer"/>
    <s v="Retail"/>
    <s v="South-Alice"/>
    <n v="2877.66"/>
  </r>
  <r>
    <n v="1095"/>
    <d v="2023-11-07T00:00:00"/>
    <s v="Charlie"/>
    <s v="West"/>
    <n v="6970.1"/>
    <n v="32"/>
    <x v="2"/>
    <n v="4266.6400000000003"/>
    <n v="4523.3599999999997"/>
    <s v="New"/>
    <n v="0.3"/>
    <s v="Bank Transfer"/>
    <s v="Retail"/>
    <s v="West-Charlie"/>
    <n v="8215.039999999979"/>
  </r>
  <r>
    <n v="1046"/>
    <d v="2023-08-15T00:00:00"/>
    <s v="Alice"/>
    <s v="South"/>
    <n v="2373.02"/>
    <n v="4"/>
    <x v="0"/>
    <n v="4095.1"/>
    <n v="4134.55"/>
    <s v="Returning"/>
    <n v="0.09"/>
    <s v="Bank Transfer"/>
    <s v="Retail"/>
    <s v="South-Alice"/>
    <n v="157.80000000000109"/>
  </r>
  <r>
    <n v="1002"/>
    <d v="2023-06-19T00:00:00"/>
    <s v="Eve"/>
    <s v="West"/>
    <n v="1263.76"/>
    <n v="18"/>
    <x v="1"/>
    <n v="117.63"/>
    <n v="576.44000000000005"/>
    <s v="New"/>
    <n v="0.18"/>
    <s v="Credit Card"/>
    <s v="Retail"/>
    <s v="West-Eve"/>
    <n v="8258.5800000000017"/>
  </r>
  <r>
    <n v="1035"/>
    <d v="2023-02-03T00:00:00"/>
    <s v="Charlie"/>
    <s v="North"/>
    <n v="1736.32"/>
    <n v="5"/>
    <x v="1"/>
    <n v="4483.8500000000004"/>
    <n v="4795.42"/>
    <s v="Returning"/>
    <n v="0.23"/>
    <s v="Cash"/>
    <s v="Online"/>
    <s v="North-Charlie"/>
    <n v="1557.8499999999985"/>
  </r>
  <r>
    <n v="1087"/>
    <d v="2023-09-08T00:00:00"/>
    <s v="Charlie"/>
    <s v="North"/>
    <n v="119.72"/>
    <n v="20"/>
    <x v="2"/>
    <n v="193.27"/>
    <n v="297.69"/>
    <s v="New"/>
    <n v="0.22"/>
    <s v="Cash"/>
    <s v="Online"/>
    <s v="North-Charlie"/>
    <n v="2088.3999999999996"/>
  </r>
  <r>
    <n v="1081"/>
    <d v="2023-09-04T00:00:00"/>
    <s v="Alice"/>
    <s v="North"/>
    <n v="7215.52"/>
    <n v="23"/>
    <x v="3"/>
    <n v="1236.25"/>
    <n v="1543.38"/>
    <s v="New"/>
    <n v="0.1"/>
    <s v="Bank Transfer"/>
    <s v="Online"/>
    <s v="North-Alice"/>
    <n v="7063.9900000000025"/>
  </r>
  <r>
    <n v="1090"/>
    <d v="2023-09-26T00:00:00"/>
    <s v="Eve"/>
    <s v="North"/>
    <n v="7350.77"/>
    <n v="11"/>
    <x v="3"/>
    <n v="210.33"/>
    <n v="552.29"/>
    <s v="Returning"/>
    <n v="0.18"/>
    <s v="Cash"/>
    <s v="Retail"/>
    <s v="North-Eve"/>
    <n v="3761.559999999999"/>
  </r>
  <r>
    <n v="1008"/>
    <d v="2023-05-21T00:00:00"/>
    <s v="David"/>
    <s v="East"/>
    <n v="5197.84"/>
    <n v="37"/>
    <x v="0"/>
    <n v="1712.43"/>
    <n v="1980.06"/>
    <s v="New"/>
    <n v="0.26"/>
    <s v="Cash"/>
    <s v="Online"/>
    <s v="East-David"/>
    <n v="9902.3099999999959"/>
  </r>
  <r>
    <n v="1093"/>
    <d v="2023-10-01T00:00:00"/>
    <s v="Eve"/>
    <s v="East"/>
    <n v="1697.49"/>
    <n v="22"/>
    <x v="3"/>
    <n v="2593.64"/>
    <n v="2955.51"/>
    <s v="Returning"/>
    <n v="0"/>
    <s v="Bank Transfer"/>
    <s v="Retail"/>
    <s v="East-Eve"/>
    <n v="7961.1400000000076"/>
  </r>
  <r>
    <n v="1026"/>
    <d v="2023-04-06T00:00:00"/>
    <s v="Bob"/>
    <s v="South"/>
    <n v="927.19"/>
    <n v="4"/>
    <x v="3"/>
    <n v="3993.39"/>
    <n v="4288.3"/>
    <s v="New"/>
    <n v="0.13"/>
    <s v="Credit Card"/>
    <s v="Online"/>
    <s v="South-Bob"/>
    <n v="1179.6400000000012"/>
  </r>
  <r>
    <n v="1074"/>
    <d v="2023-08-15T00:00:00"/>
    <s v="David"/>
    <s v="West"/>
    <n v="289.38"/>
    <n v="29"/>
    <x v="0"/>
    <n v="1723.01"/>
    <n v="2197.42"/>
    <s v="New"/>
    <n v="7.0000000000000007E-2"/>
    <s v="Bank Transfer"/>
    <s v="Retail"/>
    <s v="West-David"/>
    <n v="13757.890000000003"/>
  </r>
  <r>
    <n v="1090"/>
    <d v="2023-02-08T00:00:00"/>
    <s v="Charlie"/>
    <s v="North"/>
    <n v="1740.91"/>
    <n v="44"/>
    <x v="2"/>
    <n v="3542.18"/>
    <n v="3578.49"/>
    <s v="Returning"/>
    <n v="0.12"/>
    <s v="Cash"/>
    <s v="Online"/>
    <s v="North-Charlie"/>
    <n v="1597.6399999999976"/>
  </r>
  <r>
    <n v="1034"/>
    <d v="2023-10-29T00:00:00"/>
    <s v="David"/>
    <s v="North"/>
    <n v="8919.4699999999993"/>
    <n v="34"/>
    <x v="1"/>
    <n v="978.15"/>
    <n v="1040.21"/>
    <s v="New"/>
    <n v="0.12"/>
    <s v="Credit Card"/>
    <s v="Retail"/>
    <s v="North-David"/>
    <n v="2110.0400000000018"/>
  </r>
  <r>
    <n v="1007"/>
    <d v="2023-01-29T00:00:00"/>
    <s v="Charlie"/>
    <s v="West"/>
    <n v="2491.21"/>
    <n v="13"/>
    <x v="0"/>
    <n v="3765.46"/>
    <n v="3860.56"/>
    <s v="Returning"/>
    <n v="0.22"/>
    <s v="Cash"/>
    <s v="Retail"/>
    <s v="West-Charlie"/>
    <n v="1236.2999999999988"/>
  </r>
  <r>
    <n v="1068"/>
    <d v="2023-11-14T00:00:00"/>
    <s v="Charlie"/>
    <s v="West"/>
    <n v="3607.29"/>
    <n v="42"/>
    <x v="2"/>
    <n v="1218.18"/>
    <n v="1566.36"/>
    <s v="Returning"/>
    <n v="0.03"/>
    <s v="Credit Card"/>
    <s v="Retail"/>
    <s v="West-Charlie"/>
    <n v="14623.559999999994"/>
  </r>
  <r>
    <n v="1058"/>
    <d v="2023-09-02T00:00:00"/>
    <s v="David"/>
    <s v="South"/>
    <n v="1142.92"/>
    <n v="9"/>
    <x v="0"/>
    <n v="760.55"/>
    <n v="1086.8900000000001"/>
    <s v="Returning"/>
    <n v="0.15"/>
    <s v="Cash"/>
    <s v="Retail"/>
    <s v="South-David"/>
    <n v="2937.0600000000013"/>
  </r>
  <r>
    <n v="1075"/>
    <d v="2023-08-24T00:00:00"/>
    <s v="Charlie"/>
    <s v="West"/>
    <n v="2301.38"/>
    <n v="42"/>
    <x v="2"/>
    <n v="967.77"/>
    <n v="1414.88"/>
    <s v="New"/>
    <n v="0.17"/>
    <s v="Bank Transfer"/>
    <s v="Online"/>
    <s v="West-Charlie"/>
    <n v="18778.620000000006"/>
  </r>
  <r>
    <n v="1029"/>
    <d v="2023-07-04T00:00:00"/>
    <s v="Charlie"/>
    <s v="North"/>
    <n v="5240.32"/>
    <n v="31"/>
    <x v="0"/>
    <n v="951.21"/>
    <n v="1320.32"/>
    <s v="New"/>
    <n v="0.15"/>
    <s v="Cash"/>
    <s v="Online"/>
    <s v="North-Charlie"/>
    <n v="11442.409999999996"/>
  </r>
  <r>
    <n v="1036"/>
    <d v="2023-09-29T00:00:00"/>
    <s v="Bob"/>
    <s v="North"/>
    <n v="6116.75"/>
    <n v="7"/>
    <x v="2"/>
    <n v="2588.67"/>
    <n v="2847.76"/>
    <s v="New"/>
    <n v="0.22"/>
    <s v="Cash"/>
    <s v="Retail"/>
    <s v="North-Bob"/>
    <n v="1813.630000000001"/>
  </r>
  <r>
    <n v="1089"/>
    <d v="2023-08-24T00:00:00"/>
    <s v="Eve"/>
    <s v="North"/>
    <n v="2528.9899999999998"/>
    <n v="4"/>
    <x v="0"/>
    <n v="4231.75"/>
    <n v="4727.75"/>
    <s v="Returning"/>
    <n v="0.12"/>
    <s v="Credit Card"/>
    <s v="Retail"/>
    <s v="North-Eve"/>
    <n v="1984"/>
  </r>
  <r>
    <n v="1021"/>
    <d v="2023-08-27T00:00:00"/>
    <s v="Eve"/>
    <s v="North"/>
    <n v="671.55"/>
    <n v="19"/>
    <x v="2"/>
    <n v="444.05"/>
    <n v="584.44000000000005"/>
    <s v="Returning"/>
    <n v="0.28000000000000003"/>
    <s v="Cash"/>
    <s v="Retail"/>
    <s v="North-Eve"/>
    <n v="2667.4100000000008"/>
  </r>
  <r>
    <n v="1036"/>
    <d v="2023-09-23T00:00:00"/>
    <s v="Bob"/>
    <s v="North"/>
    <n v="3971.23"/>
    <n v="42"/>
    <x v="0"/>
    <n v="3549.43"/>
    <n v="3967.69"/>
    <s v="New"/>
    <n v="0.14000000000000001"/>
    <s v="Bank Transfer"/>
    <s v="Online"/>
    <s v="North-Bob"/>
    <n v="17566.920000000009"/>
  </r>
  <r>
    <n v="1010"/>
    <d v="2023-12-25T00:00:00"/>
    <s v="David"/>
    <s v="South"/>
    <n v="2418.61"/>
    <n v="30"/>
    <x v="1"/>
    <n v="3289.01"/>
    <n v="3508.14"/>
    <s v="New"/>
    <n v="0.17"/>
    <s v="Bank Transfer"/>
    <s v="Retail"/>
    <s v="South-David"/>
    <n v="6573.8999999999896"/>
  </r>
  <r>
    <n v="1073"/>
    <d v="2023-12-06T00:00:00"/>
    <s v="Alice"/>
    <s v="North"/>
    <n v="2273.58"/>
    <n v="31"/>
    <x v="1"/>
    <n v="4368.97"/>
    <n v="4696.8500000000004"/>
    <s v="Returning"/>
    <n v="0.25"/>
    <s v="Bank Transfer"/>
    <s v="Retail"/>
    <s v="North-Alice"/>
    <n v="10164.280000000002"/>
  </r>
  <r>
    <n v="1024"/>
    <d v="2023-03-06T00:00:00"/>
    <s v="Alice"/>
    <s v="South"/>
    <n v="9602.64"/>
    <n v="35"/>
    <x v="3"/>
    <n v="1258.53"/>
    <n v="1624.89"/>
    <s v="New"/>
    <n v="0.08"/>
    <s v="Credit Card"/>
    <s v="Online"/>
    <s v="South-Alice"/>
    <n v="12822.600000000004"/>
  </r>
  <r>
    <n v="1064"/>
    <d v="2023-06-26T00:00:00"/>
    <s v="Alice"/>
    <s v="North"/>
    <n v="6201.37"/>
    <n v="21"/>
    <x v="2"/>
    <n v="2278.04"/>
    <n v="2598.58"/>
    <s v="Returning"/>
    <n v="0.02"/>
    <s v="Credit Card"/>
    <s v="Retail"/>
    <s v="North-Alice"/>
    <n v="6731.3399999999992"/>
  </r>
  <r>
    <n v="1099"/>
    <d v="2023-01-03T00:00:00"/>
    <s v="Bob"/>
    <s v="East"/>
    <n v="5613.1"/>
    <n v="31"/>
    <x v="0"/>
    <n v="4632.8500000000004"/>
    <n v="4711.7"/>
    <s v="New"/>
    <n v="0.21"/>
    <s v="Cash"/>
    <s v="Retail"/>
    <s v="East-Bob"/>
    <n v="2444.3499999999831"/>
  </r>
  <r>
    <n v="1049"/>
    <d v="2023-05-22T00:00:00"/>
    <s v="Bob"/>
    <s v="East"/>
    <n v="4216.17"/>
    <n v="19"/>
    <x v="2"/>
    <n v="3316.97"/>
    <n v="3544.02"/>
    <s v="Returning"/>
    <n v="0.14000000000000001"/>
    <s v="Cash"/>
    <s v="Online"/>
    <s v="East-Bob"/>
    <n v="4313.9500000000035"/>
  </r>
  <r>
    <n v="1099"/>
    <d v="2023-06-07T00:00:00"/>
    <s v="Charlie"/>
    <s v="East"/>
    <n v="4346.55"/>
    <n v="31"/>
    <x v="1"/>
    <n v="1974.4"/>
    <n v="2259.5"/>
    <s v="New"/>
    <n v="0.27"/>
    <s v="Cash"/>
    <s v="Retail"/>
    <s v="East-Charlie"/>
    <n v="8838.0999999999967"/>
  </r>
  <r>
    <n v="1036"/>
    <d v="2023-11-20T00:00:00"/>
    <s v="Alice"/>
    <s v="East"/>
    <n v="5454.96"/>
    <n v="32"/>
    <x v="2"/>
    <n v="700.49"/>
    <n v="1126.52"/>
    <s v="New"/>
    <n v="0.28999999999999998"/>
    <s v="Credit Card"/>
    <s v="Retail"/>
    <s v="East-Alice"/>
    <n v="13632.96"/>
  </r>
  <r>
    <n v="1082"/>
    <d v="2023-05-26T00:00:00"/>
    <s v="David"/>
    <s v="South"/>
    <n v="6994.66"/>
    <n v="2"/>
    <x v="0"/>
    <n v="1349.3"/>
    <n v="1576.69"/>
    <s v="Returning"/>
    <n v="0.12"/>
    <s v="Credit Card"/>
    <s v="Online"/>
    <s v="South-David"/>
    <n v="454.7800000000002"/>
  </r>
  <r>
    <n v="1096"/>
    <d v="2023-10-20T00:00:00"/>
    <s v="David"/>
    <s v="South"/>
    <n v="7051.25"/>
    <n v="10"/>
    <x v="2"/>
    <n v="2927.02"/>
    <n v="3387.21"/>
    <s v="Returning"/>
    <n v="0.12"/>
    <s v="Cash"/>
    <s v="Retail"/>
    <s v="South-David"/>
    <n v="4601.9000000000005"/>
  </r>
  <r>
    <n v="1024"/>
    <d v="2023-06-02T00:00:00"/>
    <s v="Alice"/>
    <s v="West"/>
    <n v="1799.77"/>
    <n v="2"/>
    <x v="0"/>
    <n v="3604.93"/>
    <n v="3830.71"/>
    <s v="Returning"/>
    <n v="0.12"/>
    <s v="Credit Card"/>
    <s v="Online"/>
    <s v="West-Alice"/>
    <n v="451.5600000000004"/>
  </r>
  <r>
    <n v="1023"/>
    <d v="2023-07-12T00:00:00"/>
    <s v="Alice"/>
    <s v="North"/>
    <n v="5051.12"/>
    <n v="2"/>
    <x v="1"/>
    <n v="665.89"/>
    <n v="944.79"/>
    <s v="New"/>
    <n v="0.1"/>
    <s v="Credit Card"/>
    <s v="Retail"/>
    <s v="North-Alice"/>
    <n v="557.79999999999995"/>
  </r>
  <r>
    <n v="1062"/>
    <d v="2023-03-14T00:00:00"/>
    <s v="Alice"/>
    <s v="East"/>
    <n v="4178.3900000000003"/>
    <n v="24"/>
    <x v="1"/>
    <n v="3018.01"/>
    <n v="3418.19"/>
    <s v="Returning"/>
    <n v="0.23"/>
    <s v="Bank Transfer"/>
    <s v="Retail"/>
    <s v="East-Alice"/>
    <n v="9604.3199999999961"/>
  </r>
  <r>
    <n v="1096"/>
    <d v="2023-11-01T00:00:00"/>
    <s v="Bob"/>
    <s v="South"/>
    <n v="8718.2199999999993"/>
    <n v="17"/>
    <x v="1"/>
    <n v="2774.24"/>
    <n v="3069.94"/>
    <s v="Returning"/>
    <n v="0.23"/>
    <s v="Bank Transfer"/>
    <s v="Retail"/>
    <s v="South-Bob"/>
    <n v="5026.9000000000051"/>
  </r>
  <r>
    <n v="1037"/>
    <d v="2023-12-10T00:00:00"/>
    <s v="Bob"/>
    <s v="North"/>
    <n v="6351.05"/>
    <n v="32"/>
    <x v="3"/>
    <n v="2594.08"/>
    <n v="3074.59"/>
    <s v="New"/>
    <n v="0.14000000000000001"/>
    <s v="Cash"/>
    <s v="Retail"/>
    <s v="North-Bob"/>
    <n v="15376.320000000007"/>
  </r>
  <r>
    <n v="1012"/>
    <d v="2023-05-20T00:00:00"/>
    <s v="Bob"/>
    <s v="North"/>
    <n v="5371.79"/>
    <n v="16"/>
    <x v="1"/>
    <n v="3466.11"/>
    <n v="3799.67"/>
    <s v="Returning"/>
    <n v="0.01"/>
    <s v="Cash"/>
    <s v="Retail"/>
    <s v="North-Bob"/>
    <n v="5336.9599999999991"/>
  </r>
  <r>
    <n v="1055"/>
    <d v="2023-07-06T00:00:00"/>
    <s v="Eve"/>
    <s v="South"/>
    <n v="1242.4100000000001"/>
    <n v="16"/>
    <x v="2"/>
    <n v="4195.38"/>
    <n v="4461.51"/>
    <s v="Returning"/>
    <n v="0.09"/>
    <s v="Bank Transfer"/>
    <s v="Online"/>
    <s v="South-Eve"/>
    <n v="4258.0800000000017"/>
  </r>
  <r>
    <n v="1013"/>
    <d v="2023-10-20T00:00:00"/>
    <s v="David"/>
    <s v="East"/>
    <n v="6095.82"/>
    <n v="46"/>
    <x v="3"/>
    <n v="1648.8"/>
    <n v="1670.36"/>
    <s v="Returning"/>
    <n v="0.09"/>
    <s v="Credit Card"/>
    <s v="Retail"/>
    <s v="East-David"/>
    <n v="991.75999999999749"/>
  </r>
  <r>
    <n v="1023"/>
    <d v="2023-03-02T00:00:00"/>
    <s v="David"/>
    <s v="West"/>
    <n v="1260.32"/>
    <n v="39"/>
    <x v="1"/>
    <n v="4450.6099999999997"/>
    <n v="4663.34"/>
    <s v="New"/>
    <n v="0.24"/>
    <s v="Cash"/>
    <s v="Retail"/>
    <s v="West-David"/>
    <n v="8296.4700000000194"/>
  </r>
  <r>
    <n v="1089"/>
    <d v="2023-07-17T00:00:00"/>
    <s v="Charlie"/>
    <s v="North"/>
    <n v="3438.35"/>
    <n v="31"/>
    <x v="2"/>
    <n v="845.14"/>
    <n v="1001.77"/>
    <s v="New"/>
    <n v="0.03"/>
    <s v="Cash"/>
    <s v="Online"/>
    <s v="North-Charlie"/>
    <n v="4855.53"/>
  </r>
  <r>
    <n v="1099"/>
    <d v="2023-10-22T00:00:00"/>
    <s v="Bob"/>
    <s v="West"/>
    <n v="1514.14"/>
    <n v="43"/>
    <x v="2"/>
    <n v="906.47"/>
    <n v="1283.04"/>
    <s v="New"/>
    <n v="0.24"/>
    <s v="Cash"/>
    <s v="Online"/>
    <s v="West-Bob"/>
    <n v="16192.509999999997"/>
  </r>
  <r>
    <n v="1030"/>
    <d v="2023-11-15T00:00:00"/>
    <s v="Eve"/>
    <s v="East"/>
    <n v="6951.53"/>
    <n v="24"/>
    <x v="2"/>
    <n v="1370.52"/>
    <n v="1482.58"/>
    <s v="Returning"/>
    <n v="0.2"/>
    <s v="Credit Card"/>
    <s v="Retail"/>
    <s v="East-Eve"/>
    <n v="2689.4399999999987"/>
  </r>
  <r>
    <n v="1017"/>
    <d v="2023-10-29T00:00:00"/>
    <s v="Eve"/>
    <s v="East"/>
    <n v="2141.9"/>
    <n v="1"/>
    <x v="0"/>
    <n v="641.67999999999995"/>
    <n v="752.24"/>
    <s v="New"/>
    <n v="0.22"/>
    <s v="Bank Transfer"/>
    <s v="Online"/>
    <s v="East-Eve"/>
    <n v="110.56000000000006"/>
  </r>
  <r>
    <n v="1062"/>
    <d v="2023-12-10T00:00:00"/>
    <s v="David"/>
    <s v="West"/>
    <n v="3979.41"/>
    <n v="11"/>
    <x v="3"/>
    <n v="1190.08"/>
    <n v="1292.94"/>
    <s v="Returning"/>
    <n v="0.13"/>
    <s v="Cash"/>
    <s v="Retail"/>
    <s v="West-David"/>
    <n v="1131.4600000000014"/>
  </r>
  <r>
    <n v="1084"/>
    <d v="2023-01-11T00:00:00"/>
    <s v="Bob"/>
    <s v="East"/>
    <n v="8967.18"/>
    <n v="21"/>
    <x v="2"/>
    <n v="576.74"/>
    <n v="648.29"/>
    <s v="Returning"/>
    <n v="0.2"/>
    <s v="Bank Transfer"/>
    <s v="Online"/>
    <s v="East-Bob"/>
    <n v="1502.549999999999"/>
  </r>
  <r>
    <n v="1089"/>
    <d v="2023-03-03T00:00:00"/>
    <s v="Charlie"/>
    <s v="North"/>
    <n v="2122.73"/>
    <n v="4"/>
    <x v="0"/>
    <n v="4117.67"/>
    <n v="4280.0600000000004"/>
    <s v="Returning"/>
    <n v="0.18"/>
    <s v="Bank Transfer"/>
    <s v="Online"/>
    <s v="North-Charlie"/>
    <n v="649.56000000000131"/>
  </r>
  <r>
    <n v="1086"/>
    <d v="2023-11-29T00:00:00"/>
    <s v="Bob"/>
    <s v="West"/>
    <n v="5127.2700000000004"/>
    <n v="7"/>
    <x v="1"/>
    <n v="737.9"/>
    <n v="1182"/>
    <s v="New"/>
    <n v="0.23"/>
    <s v="Credit Card"/>
    <s v="Retail"/>
    <s v="West-Bob"/>
    <n v="3108.7000000000003"/>
  </r>
  <r>
    <n v="1013"/>
    <d v="2023-08-14T00:00:00"/>
    <s v="Alice"/>
    <s v="East"/>
    <n v="4250.79"/>
    <n v="26"/>
    <x v="2"/>
    <n v="3749.12"/>
    <n v="4138.83"/>
    <s v="New"/>
    <n v="0.13"/>
    <s v="Credit Card"/>
    <s v="Online"/>
    <s v="East-Alice"/>
    <n v="10132.460000000001"/>
  </r>
  <r>
    <n v="1059"/>
    <d v="2023-06-02T00:00:00"/>
    <s v="Bob"/>
    <s v="West"/>
    <n v="279.43"/>
    <n v="47"/>
    <x v="0"/>
    <n v="287.17"/>
    <n v="657.44"/>
    <s v="Returning"/>
    <n v="0.14000000000000001"/>
    <s v="Credit Card"/>
    <s v="Retail"/>
    <s v="West-Bob"/>
    <n v="17402.690000000002"/>
  </r>
  <r>
    <n v="1019"/>
    <d v="2023-07-18T00:00:00"/>
    <s v="Alice"/>
    <s v="North"/>
    <n v="7948.31"/>
    <n v="12"/>
    <x v="2"/>
    <n v="4745.18"/>
    <n v="5145.88"/>
    <s v="Returning"/>
    <n v="0.19"/>
    <s v="Credit Card"/>
    <s v="Online"/>
    <s v="North-Alice"/>
    <n v="4808.3999999999978"/>
  </r>
  <r>
    <n v="1049"/>
    <d v="2023-02-21T00:00:00"/>
    <s v="Alice"/>
    <s v="East"/>
    <n v="783.55"/>
    <n v="31"/>
    <x v="3"/>
    <n v="3570.24"/>
    <n v="3712.25"/>
    <s v="New"/>
    <n v="0.03"/>
    <s v="Credit Card"/>
    <s v="Online"/>
    <s v="East-Alice"/>
    <n v="4402.3100000000068"/>
  </r>
  <r>
    <n v="1100"/>
    <d v="2023-09-17T00:00:00"/>
    <s v="Charlie"/>
    <s v="North"/>
    <n v="4795.12"/>
    <n v="17"/>
    <x v="3"/>
    <n v="83.64"/>
    <n v="528.49"/>
    <s v="New"/>
    <n v="0.13"/>
    <s v="Credit Card"/>
    <s v="Online"/>
    <s v="North-Charlie"/>
    <n v="7562.4500000000007"/>
  </r>
  <r>
    <n v="1012"/>
    <d v="2023-02-28T00:00:00"/>
    <s v="David"/>
    <s v="East"/>
    <n v="5650.72"/>
    <n v="33"/>
    <x v="1"/>
    <n v="3831.09"/>
    <n v="3908.37"/>
    <s v="New"/>
    <n v="0.28999999999999998"/>
    <s v="Cash"/>
    <s v="Retail"/>
    <s v="East-David"/>
    <n v="2550.2399999999916"/>
  </r>
  <r>
    <n v="1061"/>
    <d v="2023-03-13T00:00:00"/>
    <s v="Bob"/>
    <s v="South"/>
    <n v="6321.42"/>
    <n v="11"/>
    <x v="2"/>
    <n v="2594.71"/>
    <n v="2769.52"/>
    <s v="Returning"/>
    <n v="0.01"/>
    <s v="Bank Transfer"/>
    <s v="Retail"/>
    <s v="South-Bob"/>
    <n v="1922.9099999999994"/>
  </r>
  <r>
    <n v="1019"/>
    <d v="2023-05-28T00:00:00"/>
    <s v="Alice"/>
    <s v="East"/>
    <n v="6917.45"/>
    <n v="28"/>
    <x v="0"/>
    <n v="3907.86"/>
    <n v="4205.37"/>
    <s v="New"/>
    <n v="0.09"/>
    <s v="Credit Card"/>
    <s v="Online"/>
    <s v="East-Alice"/>
    <n v="8330.2799999999934"/>
  </r>
  <r>
    <n v="1076"/>
    <d v="2023-12-15T00:00:00"/>
    <s v="Bob"/>
    <s v="West"/>
    <n v="2607.4"/>
    <n v="32"/>
    <x v="1"/>
    <n v="2636.36"/>
    <n v="2696.78"/>
    <s v="New"/>
    <n v="0.09"/>
    <s v="Cash"/>
    <s v="Retail"/>
    <s v="West-Bob"/>
    <n v="1933.4400000000023"/>
  </r>
  <r>
    <n v="1009"/>
    <d v="2023-03-04T00:00:00"/>
    <s v="David"/>
    <s v="East"/>
    <n v="198.79"/>
    <n v="1"/>
    <x v="2"/>
    <n v="3223.07"/>
    <n v="3590.83"/>
    <s v="New"/>
    <n v="0.19"/>
    <s v="Bank Transfer"/>
    <s v="Retail"/>
    <s v="East-David"/>
    <n v="367.75999999999976"/>
  </r>
  <r>
    <n v="1071"/>
    <d v="2023-11-06T00:00:00"/>
    <s v="David"/>
    <s v="North"/>
    <n v="7262.09"/>
    <n v="47"/>
    <x v="1"/>
    <n v="3942.34"/>
    <n v="4142.09"/>
    <s v="Returning"/>
    <n v="0.03"/>
    <s v="Credit Card"/>
    <s v="Retail"/>
    <s v="North-David"/>
    <n v="9388.25"/>
  </r>
  <r>
    <n v="1028"/>
    <d v="2023-08-31T00:00:00"/>
    <s v="Eve"/>
    <s v="North"/>
    <n v="5403"/>
    <n v="28"/>
    <x v="0"/>
    <n v="2055.2800000000002"/>
    <n v="2449.64"/>
    <s v="New"/>
    <n v="0.19"/>
    <s v="Credit Card"/>
    <s v="Online"/>
    <s v="North-Eve"/>
    <n v="11042.079999999991"/>
  </r>
  <r>
    <n v="1078"/>
    <d v="2024-01-01T00:00:00"/>
    <s v="David"/>
    <s v="East"/>
    <n v="8377.57"/>
    <n v="42"/>
    <x v="1"/>
    <n v="63.41"/>
    <n v="314.93"/>
    <s v="Returning"/>
    <n v="0.03"/>
    <s v="Cash"/>
    <s v="Retail"/>
    <s v="East-David"/>
    <n v="10563.84"/>
  </r>
  <r>
    <n v="1095"/>
    <d v="2023-11-26T00:00:00"/>
    <s v="Charlie"/>
    <s v="West"/>
    <n v="8231.74"/>
    <n v="7"/>
    <x v="1"/>
    <n v="4257.24"/>
    <n v="4355.87"/>
    <s v="Returning"/>
    <n v="0.03"/>
    <s v="Bank Transfer"/>
    <s v="Online"/>
    <s v="West-Charlie"/>
    <n v="690.41000000000076"/>
  </r>
  <r>
    <n v="1052"/>
    <d v="2023-04-17T00:00:00"/>
    <s v="Alice"/>
    <s v="South"/>
    <n v="8448.93"/>
    <n v="2"/>
    <x v="1"/>
    <n v="1935.41"/>
    <n v="2305.44"/>
    <s v="Returning"/>
    <n v="0.22"/>
    <s v="Credit Card"/>
    <s v="Online"/>
    <s v="South-Alice"/>
    <n v="740.06"/>
  </r>
  <r>
    <n v="1083"/>
    <d v="2023-08-14T00:00:00"/>
    <s v="Eve"/>
    <s v="West"/>
    <n v="4902.4399999999996"/>
    <n v="42"/>
    <x v="2"/>
    <n v="2505.41"/>
    <n v="2638.96"/>
    <s v="New"/>
    <n v="0.1"/>
    <s v="Bank Transfer"/>
    <s v="Online"/>
    <s v="West-Eve"/>
    <n v="5609.1000000000076"/>
  </r>
  <r>
    <n v="1016"/>
    <d v="2023-11-09T00:00:00"/>
    <s v="Charlie"/>
    <s v="South"/>
    <n v="3402.92"/>
    <n v="24"/>
    <x v="0"/>
    <n v="88.44"/>
    <n v="338.94"/>
    <s v="New"/>
    <n v="0.28999999999999998"/>
    <s v="Cash"/>
    <s v="Online"/>
    <s v="South-Charlie"/>
    <n v="6012"/>
  </r>
  <r>
    <n v="1069"/>
    <d v="2023-08-06T00:00:00"/>
    <s v="Bob"/>
    <s v="North"/>
    <n v="7936.43"/>
    <n v="4"/>
    <x v="3"/>
    <n v="2485.86"/>
    <n v="2532.87"/>
    <s v="New"/>
    <n v="0.01"/>
    <s v="Credit Card"/>
    <s v="Online"/>
    <s v="North-Bob"/>
    <n v="188.03999999999905"/>
  </r>
  <r>
    <n v="1099"/>
    <d v="2023-08-29T00:00:00"/>
    <s v="Alice"/>
    <s v="West"/>
    <n v="4567.8100000000004"/>
    <n v="44"/>
    <x v="2"/>
    <n v="4933.1099999999997"/>
    <n v="5245.86"/>
    <s v="Returning"/>
    <n v="0.13"/>
    <s v="Bank Transfer"/>
    <s v="Retail"/>
    <s v="West-Alice"/>
    <n v="13761"/>
  </r>
  <r>
    <n v="1012"/>
    <d v="2023-09-16T00:00:00"/>
    <s v="David"/>
    <s v="South"/>
    <n v="1916.08"/>
    <n v="19"/>
    <x v="3"/>
    <n v="1427.42"/>
    <n v="1763.69"/>
    <s v="New"/>
    <n v="0.03"/>
    <s v="Cash"/>
    <s v="Retail"/>
    <s v="South-David"/>
    <n v="6389.1299999999992"/>
  </r>
  <r>
    <n v="1025"/>
    <d v="2023-09-19T00:00:00"/>
    <s v="Alice"/>
    <s v="East"/>
    <n v="8564.24"/>
    <n v="26"/>
    <x v="3"/>
    <n v="2007.32"/>
    <n v="2202.87"/>
    <s v="Returning"/>
    <n v="0.11"/>
    <s v="Cash"/>
    <s v="Online"/>
    <s v="East-Alice"/>
    <n v="5084.2999999999993"/>
  </r>
  <r>
    <n v="1052"/>
    <d v="2023-01-05T00:00:00"/>
    <s v="Bob"/>
    <s v="North"/>
    <n v="8837.34"/>
    <n v="11"/>
    <x v="2"/>
    <n v="3451.59"/>
    <n v="3929.26"/>
    <s v="New"/>
    <n v="0.3"/>
    <s v="Credit Card"/>
    <s v="Retail"/>
    <s v="North-Bob"/>
    <n v="5254.3700000000008"/>
  </r>
  <r>
    <n v="1085"/>
    <d v="2023-09-18T00:00:00"/>
    <s v="Eve"/>
    <s v="East"/>
    <n v="4716.47"/>
    <n v="40"/>
    <x v="2"/>
    <n v="4083.23"/>
    <n v="4521.57"/>
    <s v="New"/>
    <n v="0.27"/>
    <s v="Bank Transfer"/>
    <s v="Retail"/>
    <s v="East-Eve"/>
    <n v="17533.599999999988"/>
  </r>
  <r>
    <n v="1100"/>
    <d v="2023-02-23T00:00:00"/>
    <s v="Eve"/>
    <s v="North"/>
    <n v="849.43"/>
    <n v="43"/>
    <x v="0"/>
    <n v="2116.09"/>
    <n v="2472.98"/>
    <s v="New"/>
    <n v="0.01"/>
    <s v="Credit Card"/>
    <s v="Retail"/>
    <s v="North-Eve"/>
    <n v="15346.269999999995"/>
  </r>
  <r>
    <n v="1053"/>
    <d v="2023-02-16T00:00:00"/>
    <s v="Eve"/>
    <s v="West"/>
    <n v="3939.48"/>
    <n v="11"/>
    <x v="0"/>
    <n v="1582.86"/>
    <n v="1942.55"/>
    <s v="New"/>
    <n v="0.17"/>
    <s v="Credit Card"/>
    <s v="Retail"/>
    <s v="West-Eve"/>
    <n v="3956.5900000000006"/>
  </r>
  <r>
    <n v="1023"/>
    <d v="2023-08-03T00:00:00"/>
    <s v="David"/>
    <s v="West"/>
    <n v="8055.02"/>
    <n v="45"/>
    <x v="1"/>
    <n v="4692.24"/>
    <n v="4825.92"/>
    <s v="Returning"/>
    <n v="0.19"/>
    <s v="Bank Transfer"/>
    <s v="Retail"/>
    <s v="West-David"/>
    <n v="6015.6000000000131"/>
  </r>
  <r>
    <n v="1016"/>
    <d v="2023-06-26T00:00:00"/>
    <s v="Charlie"/>
    <s v="North"/>
    <n v="9027.56"/>
    <n v="3"/>
    <x v="3"/>
    <n v="3401.87"/>
    <n v="3733.71"/>
    <s v="Returning"/>
    <n v="0.06"/>
    <s v="Bank Transfer"/>
    <s v="Retail"/>
    <s v="North-Charlie"/>
    <n v="995.52000000000044"/>
  </r>
  <r>
    <n v="1057"/>
    <d v="2023-01-09T00:00:00"/>
    <s v="Charlie"/>
    <s v="North"/>
    <n v="2114.38"/>
    <n v="12"/>
    <x v="0"/>
    <n v="639.16"/>
    <n v="746.28"/>
    <s v="Returning"/>
    <n v="0.04"/>
    <s v="Bank Transfer"/>
    <s v="Retail"/>
    <s v="North-Charlie"/>
    <n v="1285.44"/>
  </r>
  <r>
    <n v="1039"/>
    <d v="2023-04-09T00:00:00"/>
    <s v="Alice"/>
    <s v="North"/>
    <n v="763.04"/>
    <n v="3"/>
    <x v="1"/>
    <n v="391.19"/>
    <n v="471.75"/>
    <s v="Returning"/>
    <n v="0.27"/>
    <s v="Cash"/>
    <s v="Online"/>
    <s v="North-Alice"/>
    <n v="241.68"/>
  </r>
  <r>
    <n v="1053"/>
    <d v="2023-01-20T00:00:00"/>
    <s v="David"/>
    <s v="West"/>
    <n v="8785.77"/>
    <n v="42"/>
    <x v="0"/>
    <n v="2443.5700000000002"/>
    <n v="2943.31"/>
    <s v="New"/>
    <n v="0.28999999999999998"/>
    <s v="Cash"/>
    <s v="Online"/>
    <s v="West-David"/>
    <n v="20989.079999999991"/>
  </r>
  <r>
    <n v="1042"/>
    <d v="2023-08-29T00:00:00"/>
    <s v="Eve"/>
    <s v="South"/>
    <n v="3955.11"/>
    <n v="27"/>
    <x v="2"/>
    <n v="1139.45"/>
    <n v="1454.41"/>
    <s v="Returning"/>
    <n v="0.3"/>
    <s v="Bank Transfer"/>
    <s v="Online"/>
    <s v="South-Eve"/>
    <n v="8503.9200000000019"/>
  </r>
  <r>
    <n v="1058"/>
    <d v="2023-03-02T00:00:00"/>
    <s v="Eve"/>
    <s v="East"/>
    <n v="5463.43"/>
    <n v="49"/>
    <x v="0"/>
    <n v="1307.22"/>
    <n v="1528.4"/>
    <s v="Returning"/>
    <n v="0.24"/>
    <s v="Cash"/>
    <s v="Retail"/>
    <s v="East-Eve"/>
    <n v="10837.820000000003"/>
  </r>
  <r>
    <n v="1039"/>
    <d v="2023-06-27T00:00:00"/>
    <s v="Bob"/>
    <s v="East"/>
    <n v="9683.85"/>
    <n v="2"/>
    <x v="3"/>
    <n v="4394.58"/>
    <n v="4545.78"/>
    <s v="Returning"/>
    <n v="0.2"/>
    <s v="Credit Card"/>
    <s v="Retail"/>
    <s v="East-Bob"/>
    <n v="302.39999999999964"/>
  </r>
  <r>
    <n v="1014"/>
    <d v="2023-12-04T00:00:00"/>
    <s v="Bob"/>
    <s v="West"/>
    <n v="758.99"/>
    <n v="49"/>
    <x v="0"/>
    <n v="493.35"/>
    <n v="799.27"/>
    <s v="New"/>
    <n v="0.1"/>
    <s v="Bank Transfer"/>
    <s v="Online"/>
    <s v="West-Bob"/>
    <n v="14990.079999999998"/>
  </r>
  <r>
    <n v="1095"/>
    <d v="2023-03-03T00:00:00"/>
    <s v="Eve"/>
    <s v="East"/>
    <n v="6518.35"/>
    <n v="16"/>
    <x v="3"/>
    <n v="3591.05"/>
    <n v="3625.35"/>
    <s v="Returning"/>
    <n v="0.05"/>
    <s v="Credit Card"/>
    <s v="Retail"/>
    <s v="East-Eve"/>
    <n v="548.79999999999563"/>
  </r>
  <r>
    <n v="1005"/>
    <d v="2023-05-25T00:00:00"/>
    <s v="Eve"/>
    <s v="North"/>
    <n v="833.64"/>
    <n v="2"/>
    <x v="2"/>
    <n v="1392.15"/>
    <n v="1448.54"/>
    <s v="Returning"/>
    <n v="0.02"/>
    <s v="Bank Transfer"/>
    <s v="Retail"/>
    <s v="North-Eve"/>
    <n v="112.77999999999975"/>
  </r>
  <r>
    <n v="1035"/>
    <d v="2023-08-04T00:00:00"/>
    <s v="David"/>
    <s v="South"/>
    <n v="3817.14"/>
    <n v="30"/>
    <x v="3"/>
    <n v="3813.62"/>
    <n v="3839.72"/>
    <s v="New"/>
    <n v="0.21"/>
    <s v="Credit Card"/>
    <s v="Online"/>
    <s v="South-David"/>
    <n v="782.99999999999727"/>
  </r>
  <r>
    <n v="1087"/>
    <d v="2023-01-03T00:00:00"/>
    <s v="Charlie"/>
    <s v="East"/>
    <n v="8057.76"/>
    <n v="20"/>
    <x v="0"/>
    <n v="3625.94"/>
    <n v="3880.53"/>
    <s v="New"/>
    <n v="0.24"/>
    <s v="Bank Transfer"/>
    <s v="Online"/>
    <s v="East-Charlie"/>
    <n v="5091.8000000000029"/>
  </r>
  <r>
    <n v="1093"/>
    <d v="2023-06-09T00:00:00"/>
    <s v="Bob"/>
    <s v="South"/>
    <n v="4391.38"/>
    <n v="38"/>
    <x v="1"/>
    <n v="86.59"/>
    <n v="390.89"/>
    <s v="Returning"/>
    <n v="0.25"/>
    <s v="Credit Card"/>
    <s v="Online"/>
    <s v="South-Bob"/>
    <n v="11563.399999999998"/>
  </r>
  <r>
    <n v="1075"/>
    <d v="2023-08-15T00:00:00"/>
    <s v="Charlie"/>
    <s v="North"/>
    <n v="9972.11"/>
    <n v="28"/>
    <x v="2"/>
    <n v="2570.2199999999998"/>
    <n v="2610.84"/>
    <s v="Returning"/>
    <n v="0.27"/>
    <s v="Bank Transfer"/>
    <s v="Retail"/>
    <s v="North-Charlie"/>
    <n v="1137.3600000000097"/>
  </r>
  <r>
    <n v="1018"/>
    <d v="2023-09-26T00:00:00"/>
    <s v="David"/>
    <s v="East"/>
    <n v="5634.69"/>
    <n v="25"/>
    <x v="0"/>
    <n v="739.63"/>
    <n v="1103.03"/>
    <s v="New"/>
    <n v="0.26"/>
    <s v="Bank Transfer"/>
    <s v="Retail"/>
    <s v="East-David"/>
    <n v="9085"/>
  </r>
  <r>
    <n v="1076"/>
    <d v="2023-04-30T00:00:00"/>
    <s v="Eve"/>
    <s v="West"/>
    <n v="3279.51"/>
    <n v="32"/>
    <x v="2"/>
    <n v="4337.82"/>
    <n v="4460.71"/>
    <s v="Returning"/>
    <n v="0.3"/>
    <s v="Cash"/>
    <s v="Retail"/>
    <s v="West-Eve"/>
    <n v="3932.4800000000105"/>
  </r>
  <r>
    <n v="1009"/>
    <d v="2023-03-30T00:00:00"/>
    <s v="Charlie"/>
    <s v="South"/>
    <n v="2279.1"/>
    <n v="10"/>
    <x v="2"/>
    <n v="4364.3500000000004"/>
    <n v="4710.1000000000004"/>
    <s v="New"/>
    <n v="7.0000000000000007E-2"/>
    <s v="Credit Card"/>
    <s v="Online"/>
    <s v="South-Charlie"/>
    <n v="3457.5"/>
  </r>
  <r>
    <n v="1074"/>
    <d v="2023-11-25T00:00:00"/>
    <s v="Eve"/>
    <s v="North"/>
    <n v="3570.15"/>
    <n v="42"/>
    <x v="0"/>
    <n v="2120.81"/>
    <n v="2611.94"/>
    <s v="Returning"/>
    <n v="0.23"/>
    <s v="Cash"/>
    <s v="Online"/>
    <s v="North-Eve"/>
    <n v="20627.460000000006"/>
  </r>
  <r>
    <n v="1058"/>
    <d v="2023-03-09T00:00:00"/>
    <s v="Eve"/>
    <s v="South"/>
    <n v="3788.08"/>
    <n v="40"/>
    <x v="0"/>
    <n v="2249.7600000000002"/>
    <n v="2598.4"/>
    <s v="Returning"/>
    <n v="0.18"/>
    <s v="Credit Card"/>
    <s v="Retail"/>
    <s v="South-Eve"/>
    <n v="13945.599999999995"/>
  </r>
  <r>
    <n v="1017"/>
    <d v="2023-12-23T00:00:00"/>
    <s v="Alice"/>
    <s v="East"/>
    <n v="780.27"/>
    <n v="33"/>
    <x v="1"/>
    <n v="1551.25"/>
    <n v="1994.01"/>
    <s v="Returning"/>
    <n v="0.08"/>
    <s v="Cash"/>
    <s v="Online"/>
    <s v="East-Alice"/>
    <n v="14611.08"/>
  </r>
  <r>
    <n v="1007"/>
    <d v="2023-04-08T00:00:00"/>
    <s v="Charlie"/>
    <s v="East"/>
    <n v="3758.78"/>
    <n v="13"/>
    <x v="2"/>
    <n v="3597.2"/>
    <n v="4071.82"/>
    <s v="Returning"/>
    <n v="0.28999999999999998"/>
    <s v="Bank Transfer"/>
    <s v="Online"/>
    <s v="East-Charlie"/>
    <n v="6170.0600000000049"/>
  </r>
  <r>
    <n v="1046"/>
    <d v="2023-09-24T00:00:00"/>
    <s v="Charlie"/>
    <s v="West"/>
    <n v="4695.96"/>
    <n v="41"/>
    <x v="2"/>
    <n v="1825.37"/>
    <n v="2073.88"/>
    <s v="Returning"/>
    <n v="0.27"/>
    <s v="Cash"/>
    <s v="Retail"/>
    <s v="West-Charlie"/>
    <n v="10188.910000000009"/>
  </r>
  <r>
    <n v="1013"/>
    <d v="2023-04-15T00:00:00"/>
    <s v="Eve"/>
    <s v="North"/>
    <n v="7255.1"/>
    <n v="42"/>
    <x v="0"/>
    <n v="1375.57"/>
    <n v="1729.71"/>
    <s v="New"/>
    <n v="0.04"/>
    <s v="Cash"/>
    <s v="Online"/>
    <s v="North-Eve"/>
    <n v="14873.880000000005"/>
  </r>
  <r>
    <n v="1040"/>
    <d v="2023-11-19T00:00:00"/>
    <s v="David"/>
    <s v="North"/>
    <n v="6601.62"/>
    <n v="47"/>
    <x v="3"/>
    <n v="2189.54"/>
    <n v="2617"/>
    <s v="New"/>
    <n v="0.01"/>
    <s v="Bank Transfer"/>
    <s v="Online"/>
    <s v="North-David"/>
    <n v="20090.620000000003"/>
  </r>
  <r>
    <n v="1042"/>
    <d v="2023-05-03T00:00:00"/>
    <s v="Alice"/>
    <s v="West"/>
    <n v="7116.78"/>
    <n v="37"/>
    <x v="0"/>
    <n v="502.86"/>
    <n v="687.6"/>
    <s v="Returning"/>
    <n v="0.21"/>
    <s v="Cash"/>
    <s v="Online"/>
    <s v="West-Alice"/>
    <n v="6835.38"/>
  </r>
  <r>
    <n v="1009"/>
    <d v="2023-01-29T00:00:00"/>
    <s v="Eve"/>
    <s v="West"/>
    <n v="182.8"/>
    <n v="16"/>
    <x v="2"/>
    <n v="3745.69"/>
    <n v="3883.77"/>
    <s v="Returning"/>
    <n v="0.18"/>
    <s v="Bank Transfer"/>
    <s v="Retail"/>
    <s v="West-Eve"/>
    <n v="2209.2799999999988"/>
  </r>
  <r>
    <n v="1050"/>
    <d v="2023-05-17T00:00:00"/>
    <s v="Bob"/>
    <s v="North"/>
    <n v="2254.91"/>
    <n v="45"/>
    <x v="0"/>
    <n v="112.35"/>
    <n v="586.17999999999995"/>
    <s v="Returning"/>
    <n v="0.28000000000000003"/>
    <s v="Credit Card"/>
    <s v="Retail"/>
    <s v="North-Bob"/>
    <n v="21322.35"/>
  </r>
  <r>
    <n v="1027"/>
    <d v="2023-07-14T00:00:00"/>
    <s v="Bob"/>
    <s v="South"/>
    <n v="6650.67"/>
    <n v="22"/>
    <x v="1"/>
    <n v="3240.2"/>
    <n v="3606.09"/>
    <s v="New"/>
    <n v="7.0000000000000007E-2"/>
    <s v="Cash"/>
    <s v="Online"/>
    <s v="South-Bob"/>
    <n v="8049.5800000000072"/>
  </r>
  <r>
    <n v="1066"/>
    <d v="2023-08-14T00:00:00"/>
    <s v="Alice"/>
    <s v="South"/>
    <n v="4891.49"/>
    <n v="20"/>
    <x v="3"/>
    <n v="955.18"/>
    <n v="1072.82"/>
    <s v="New"/>
    <n v="0.03"/>
    <s v="Bank Transfer"/>
    <s v="Retail"/>
    <s v="South-Alice"/>
    <n v="2352.7999999999997"/>
  </r>
  <r>
    <n v="1005"/>
    <d v="2023-11-28T00:00:00"/>
    <s v="David"/>
    <s v="West"/>
    <n v="152.6"/>
    <n v="43"/>
    <x v="0"/>
    <n v="1200.4000000000001"/>
    <n v="1430.45"/>
    <s v="New"/>
    <n v="0.08"/>
    <s v="Bank Transfer"/>
    <s v="Retail"/>
    <s v="West-David"/>
    <n v="9892.1499999999978"/>
  </r>
  <r>
    <n v="1029"/>
    <d v="2023-06-19T00:00:00"/>
    <s v="Eve"/>
    <s v="South"/>
    <n v="8064.5"/>
    <n v="27"/>
    <x v="1"/>
    <n v="3196.38"/>
    <n v="3596.64"/>
    <s v="New"/>
    <n v="0.01"/>
    <s v="Cash"/>
    <s v="Retail"/>
    <s v="South-Eve"/>
    <n v="10807.019999999993"/>
  </r>
  <r>
    <n v="1037"/>
    <d v="2023-01-09T00:00:00"/>
    <s v="Charlie"/>
    <s v="North"/>
    <n v="7750.81"/>
    <n v="41"/>
    <x v="2"/>
    <n v="4965.07"/>
    <n v="5243.13"/>
    <s v="New"/>
    <n v="0.01"/>
    <s v="Credit Card"/>
    <s v="Online"/>
    <s v="North-Charlie"/>
    <n v="11400.460000000017"/>
  </r>
  <r>
    <n v="1038"/>
    <d v="2023-02-09T00:00:00"/>
    <s v="Alice"/>
    <s v="East"/>
    <n v="5529.35"/>
    <n v="16"/>
    <x v="0"/>
    <n v="3899.7"/>
    <n v="4228.18"/>
    <s v="New"/>
    <n v="0.27"/>
    <s v="Cash"/>
    <s v="Retail"/>
    <s v="East-Alice"/>
    <n v="5255.6800000000076"/>
  </r>
  <r>
    <n v="1083"/>
    <d v="2023-01-25T00:00:00"/>
    <s v="David"/>
    <s v="East"/>
    <n v="757.99"/>
    <n v="34"/>
    <x v="2"/>
    <n v="1167.9100000000001"/>
    <n v="1547.26"/>
    <s v="New"/>
    <n v="0.11"/>
    <s v="Bank Transfer"/>
    <s v="Online"/>
    <s v="East-David"/>
    <n v="12897.899999999998"/>
  </r>
  <r>
    <n v="1008"/>
    <d v="2023-09-18T00:00:00"/>
    <s v="Charlie"/>
    <s v="South"/>
    <n v="7688.5"/>
    <n v="32"/>
    <x v="1"/>
    <n v="921.32"/>
    <n v="1236.0999999999999"/>
    <s v="New"/>
    <n v="0.12"/>
    <s v="Credit Card"/>
    <s v="Online"/>
    <s v="South-Charlie"/>
    <n v="10072.959999999995"/>
  </r>
  <r>
    <n v="1065"/>
    <d v="2023-08-14T00:00:00"/>
    <s v="Bob"/>
    <s v="West"/>
    <n v="5878.76"/>
    <n v="26"/>
    <x v="2"/>
    <n v="4337.8500000000004"/>
    <n v="4612.49"/>
    <s v="Returning"/>
    <n v="0.01"/>
    <s v="Cash"/>
    <s v="Retail"/>
    <s v="West-Bob"/>
    <n v="7140.6399999999849"/>
  </r>
  <r>
    <n v="1086"/>
    <d v="2023-05-04T00:00:00"/>
    <s v="Bob"/>
    <s v="West"/>
    <n v="7841.4"/>
    <n v="25"/>
    <x v="1"/>
    <n v="2248.71"/>
    <n v="2626.02"/>
    <s v="New"/>
    <n v="0.08"/>
    <s v="Bank Transfer"/>
    <s v="Online"/>
    <s v="West-Bob"/>
    <n v="9432.7499999999982"/>
  </r>
  <r>
    <n v="1017"/>
    <d v="2023-02-07T00:00:00"/>
    <s v="Charlie"/>
    <s v="West"/>
    <n v="7542.3"/>
    <n v="2"/>
    <x v="1"/>
    <n v="728.41"/>
    <n v="1094.92"/>
    <s v="New"/>
    <n v="0.24"/>
    <s v="Cash"/>
    <s v="Retail"/>
    <s v="West-Charlie"/>
    <n v="733.02000000000021"/>
  </r>
  <r>
    <n v="1071"/>
    <d v="2023-11-24T00:00:00"/>
    <s v="Alice"/>
    <s v="West"/>
    <n v="8049.72"/>
    <n v="12"/>
    <x v="1"/>
    <n v="4317.95"/>
    <n v="4636.59"/>
    <s v="New"/>
    <n v="0.18"/>
    <s v="Credit Card"/>
    <s v="Retail"/>
    <s v="West-Alice"/>
    <n v="3823.6800000000039"/>
  </r>
  <r>
    <n v="1089"/>
    <d v="2023-09-08T00:00:00"/>
    <s v="Bob"/>
    <s v="West"/>
    <n v="5228.28"/>
    <n v="40"/>
    <x v="0"/>
    <n v="4089.66"/>
    <n v="4275.96"/>
    <s v="New"/>
    <n v="0.23"/>
    <s v="Credit Card"/>
    <s v="Online"/>
    <s v="West-Bob"/>
    <n v="7452.0000000000073"/>
  </r>
  <r>
    <n v="1045"/>
    <d v="2023-06-25T00:00:00"/>
    <s v="Eve"/>
    <s v="South"/>
    <n v="1489.21"/>
    <n v="9"/>
    <x v="2"/>
    <n v="4920.34"/>
    <n v="5129.1899999999996"/>
    <s v="Returning"/>
    <n v="0.13"/>
    <s v="Credit Card"/>
    <s v="Online"/>
    <s v="South-Eve"/>
    <n v="1879.6499999999951"/>
  </r>
  <r>
    <n v="1004"/>
    <d v="2023-03-31T00:00:00"/>
    <s v="Charlie"/>
    <s v="East"/>
    <n v="6744.46"/>
    <n v="12"/>
    <x v="2"/>
    <n v="4553.2299999999996"/>
    <n v="5038.74"/>
    <s v="New"/>
    <n v="0.09"/>
    <s v="Credit Card"/>
    <s v="Retail"/>
    <s v="East-Charlie"/>
    <n v="5826.1200000000026"/>
  </r>
  <r>
    <n v="1036"/>
    <d v="2023-02-06T00:00:00"/>
    <s v="Charlie"/>
    <s v="East"/>
    <n v="6242.69"/>
    <n v="26"/>
    <x v="3"/>
    <n v="4266.3599999999997"/>
    <n v="4331.43"/>
    <s v="Returning"/>
    <n v="0.14000000000000001"/>
    <s v="Credit Card"/>
    <s v="Retail"/>
    <s v="East-Charlie"/>
    <n v="1691.8200000000161"/>
  </r>
  <r>
    <n v="1070"/>
    <d v="2023-11-12T00:00:00"/>
    <s v="Bob"/>
    <s v="South"/>
    <n v="7448.31"/>
    <n v="9"/>
    <x v="3"/>
    <n v="310.24"/>
    <n v="451.81"/>
    <s v="Returning"/>
    <n v="0.1"/>
    <s v="Cash"/>
    <s v="Retail"/>
    <s v="South-Bob"/>
    <n v="1274.1299999999999"/>
  </r>
  <r>
    <n v="1031"/>
    <d v="2023-06-25T00:00:00"/>
    <s v="Alice"/>
    <s v="West"/>
    <n v="1781.82"/>
    <n v="10"/>
    <x v="3"/>
    <n v="566.86"/>
    <n v="818.14"/>
    <s v="Returning"/>
    <n v="0.25"/>
    <s v="Credit Card"/>
    <s v="Retail"/>
    <s v="West-Alice"/>
    <n v="2512.7999999999997"/>
  </r>
  <r>
    <n v="1019"/>
    <d v="2023-10-11T00:00:00"/>
    <s v="Eve"/>
    <s v="South"/>
    <n v="2030.25"/>
    <n v="32"/>
    <x v="3"/>
    <n v="2866.47"/>
    <n v="3286.47"/>
    <s v="New"/>
    <n v="0.09"/>
    <s v="Credit Card"/>
    <s v="Online"/>
    <s v="South-Eve"/>
    <n v="13440"/>
  </r>
  <r>
    <n v="1061"/>
    <d v="2023-03-22T00:00:00"/>
    <s v="Alice"/>
    <s v="East"/>
    <n v="8915.0499999999993"/>
    <n v="34"/>
    <x v="2"/>
    <n v="2680.82"/>
    <n v="2771.02"/>
    <s v="New"/>
    <n v="0.2"/>
    <s v="Bank Transfer"/>
    <s v="Online"/>
    <s v="East-Alice"/>
    <n v="3066.7999999999938"/>
  </r>
  <r>
    <n v="1054"/>
    <d v="2023-04-24T00:00:00"/>
    <s v="David"/>
    <s v="North"/>
    <n v="7524.78"/>
    <n v="48"/>
    <x v="1"/>
    <n v="2316.92"/>
    <n v="2462.63"/>
    <s v="New"/>
    <n v="0.04"/>
    <s v="Credit Card"/>
    <s v="Online"/>
    <s v="North-David"/>
    <n v="6994.0800000000017"/>
  </r>
  <r>
    <n v="1039"/>
    <d v="2023-02-09T00:00:00"/>
    <s v="David"/>
    <s v="South"/>
    <n v="9091.4599999999991"/>
    <n v="20"/>
    <x v="1"/>
    <n v="2014.11"/>
    <n v="2056.35"/>
    <s v="Returning"/>
    <n v="0.21"/>
    <s v="Bank Transfer"/>
    <s v="Retail"/>
    <s v="South-David"/>
    <n v="844.80000000000018"/>
  </r>
  <r>
    <n v="1091"/>
    <d v="2023-10-28T00:00:00"/>
    <s v="Bob"/>
    <s v="West"/>
    <n v="7611.28"/>
    <n v="39"/>
    <x v="0"/>
    <n v="2184.4899999999998"/>
    <n v="2540.42"/>
    <s v="Returning"/>
    <n v="0.27"/>
    <s v="Bank Transfer"/>
    <s v="Online"/>
    <s v="West-Bob"/>
    <n v="13881.270000000011"/>
  </r>
  <r>
    <n v="1074"/>
    <d v="2023-08-12T00:00:00"/>
    <s v="Bob"/>
    <s v="East"/>
    <n v="6011.84"/>
    <n v="2"/>
    <x v="1"/>
    <n v="2868.02"/>
    <n v="2994.74"/>
    <s v="Returning"/>
    <n v="0.18"/>
    <s v="Bank Transfer"/>
    <s v="Online"/>
    <s v="East-Bob"/>
    <n v="253.4399999999996"/>
  </r>
  <r>
    <n v="1090"/>
    <d v="2023-11-14T00:00:00"/>
    <s v="Bob"/>
    <s v="East"/>
    <n v="6575.91"/>
    <n v="1"/>
    <x v="2"/>
    <n v="60.28"/>
    <n v="260.73"/>
    <s v="Returning"/>
    <n v="0.17"/>
    <s v="Cash"/>
    <s v="Online"/>
    <s v="East-Bob"/>
    <n v="200.45000000000002"/>
  </r>
  <r>
    <n v="1019"/>
    <d v="2023-12-15T00:00:00"/>
    <s v="David"/>
    <s v="East"/>
    <n v="8902.3700000000008"/>
    <n v="36"/>
    <x v="2"/>
    <n v="1340.51"/>
    <n v="1567.92"/>
    <s v="New"/>
    <n v="0.28999999999999998"/>
    <s v="Cash"/>
    <s v="Online"/>
    <s v="East-David"/>
    <n v="8186.7600000000029"/>
  </r>
  <r>
    <n v="1039"/>
    <d v="2023-04-25T00:00:00"/>
    <s v="Alice"/>
    <s v="East"/>
    <n v="5830.19"/>
    <n v="24"/>
    <x v="2"/>
    <n v="2615.48"/>
    <n v="3062.22"/>
    <s v="New"/>
    <n v="0.19"/>
    <s v="Bank Transfer"/>
    <s v="Retail"/>
    <s v="East-Alice"/>
    <n v="10721.759999999995"/>
  </r>
  <r>
    <n v="1067"/>
    <d v="2023-07-05T00:00:00"/>
    <s v="Alice"/>
    <s v="West"/>
    <n v="6360.67"/>
    <n v="27"/>
    <x v="0"/>
    <n v="3624.97"/>
    <n v="3836.52"/>
    <s v="New"/>
    <n v="0.08"/>
    <s v="Cash"/>
    <s v="Online"/>
    <s v="West-Alice"/>
    <n v="5711.8500000000049"/>
  </r>
  <r>
    <n v="1045"/>
    <d v="2023-11-19T00:00:00"/>
    <s v="Bob"/>
    <s v="North"/>
    <n v="1649.12"/>
    <n v="2"/>
    <x v="3"/>
    <n v="912.08"/>
    <n v="993.24"/>
    <s v="Returning"/>
    <n v="0.09"/>
    <s v="Credit Card"/>
    <s v="Online"/>
    <s v="North-Bob"/>
    <n v="162.31999999999994"/>
  </r>
  <r>
    <n v="1013"/>
    <d v="2023-02-25T00:00:00"/>
    <s v="Eve"/>
    <s v="East"/>
    <n v="4791.82"/>
    <n v="31"/>
    <x v="1"/>
    <n v="2757.06"/>
    <n v="3023.97"/>
    <s v="Returning"/>
    <n v="0.21"/>
    <s v="Cash"/>
    <s v="Online"/>
    <s v="East-Eve"/>
    <n v="8274.2099999999955"/>
  </r>
  <r>
    <n v="1092"/>
    <d v="2023-02-09T00:00:00"/>
    <s v="Alice"/>
    <s v="South"/>
    <n v="7192.33"/>
    <n v="14"/>
    <x v="2"/>
    <n v="3586.58"/>
    <n v="4068.43"/>
    <s v="New"/>
    <n v="0.22"/>
    <s v="Credit Card"/>
    <s v="Online"/>
    <s v="South-Alice"/>
    <n v="6745.8999999999987"/>
  </r>
  <r>
    <n v="1058"/>
    <d v="2023-12-20T00:00:00"/>
    <s v="David"/>
    <s v="North"/>
    <n v="2782.33"/>
    <n v="2"/>
    <x v="2"/>
    <n v="2250.91"/>
    <n v="2558.6799999999998"/>
    <s v="New"/>
    <n v="0.09"/>
    <s v="Credit Card"/>
    <s v="Retail"/>
    <s v="North-David"/>
    <n v="615.54"/>
  </r>
  <r>
    <n v="1020"/>
    <d v="2023-02-09T00:00:00"/>
    <s v="Charlie"/>
    <s v="East"/>
    <n v="2102.3200000000002"/>
    <n v="29"/>
    <x v="3"/>
    <n v="184.05"/>
    <n v="675.91"/>
    <s v="Returning"/>
    <n v="0.1"/>
    <s v="Cash"/>
    <s v="Retail"/>
    <s v="East-Charlie"/>
    <n v="14263.939999999999"/>
  </r>
  <r>
    <n v="1092"/>
    <d v="2023-12-13T00:00:00"/>
    <s v="Charlie"/>
    <s v="North"/>
    <n v="3206.89"/>
    <n v="15"/>
    <x v="2"/>
    <n v="2273.88"/>
    <n v="2696.02"/>
    <s v="New"/>
    <n v="0.3"/>
    <s v="Cash"/>
    <s v="Online"/>
    <s v="North-Charlie"/>
    <n v="6332.0999999999985"/>
  </r>
  <r>
    <n v="1072"/>
    <d v="2023-08-25T00:00:00"/>
    <s v="Charlie"/>
    <s v="South"/>
    <n v="2490.86"/>
    <n v="12"/>
    <x v="1"/>
    <n v="1517.4"/>
    <n v="1545.02"/>
    <s v="New"/>
    <n v="0.03"/>
    <s v="Bank Transfer"/>
    <s v="Retail"/>
    <s v="South-Charlie"/>
    <n v="331.43999999999869"/>
  </r>
  <r>
    <n v="1061"/>
    <d v="2023-10-16T00:00:00"/>
    <s v="Eve"/>
    <s v="East"/>
    <n v="2227.64"/>
    <n v="37"/>
    <x v="0"/>
    <n v="4651.7700000000004"/>
    <n v="4984.3900000000003"/>
    <s v="Returning"/>
    <n v="0.12"/>
    <s v="Cash"/>
    <s v="Retail"/>
    <s v="East-Eve"/>
    <n v="12306.939999999995"/>
  </r>
  <r>
    <n v="1039"/>
    <d v="2023-09-19T00:00:00"/>
    <s v="Bob"/>
    <s v="South"/>
    <n v="4306.0200000000004"/>
    <n v="28"/>
    <x v="2"/>
    <n v="666.84"/>
    <n v="817.36"/>
    <s v="Returning"/>
    <n v="0.02"/>
    <s v="Cash"/>
    <s v="Retail"/>
    <s v="South-Bob"/>
    <n v="4214.5599999999995"/>
  </r>
  <r>
    <n v="1001"/>
    <d v="2023-08-04T00:00:00"/>
    <s v="David"/>
    <s v="West"/>
    <n v="9087.6"/>
    <n v="20"/>
    <x v="1"/>
    <n v="3279.76"/>
    <n v="3563.97"/>
    <s v="Returning"/>
    <n v="0.25"/>
    <s v="Cash"/>
    <s v="Retail"/>
    <s v="West-David"/>
    <n v="5684.1999999999916"/>
  </r>
  <r>
    <n v="1003"/>
    <d v="2023-05-27T00:00:00"/>
    <s v="Eve"/>
    <s v="East"/>
    <n v="5119.8900000000003"/>
    <n v="39"/>
    <x v="2"/>
    <n v="310.95999999999998"/>
    <n v="457.84"/>
    <s v="New"/>
    <n v="0.03"/>
    <s v="Credit Card"/>
    <s v="Online"/>
    <s v="East-Eve"/>
    <n v="5728.32"/>
  </r>
  <r>
    <n v="1077"/>
    <d v="2023-12-02T00:00:00"/>
    <s v="David"/>
    <s v="East"/>
    <n v="1960.41"/>
    <n v="24"/>
    <x v="3"/>
    <n v="2258.54"/>
    <n v="2439.4899999999998"/>
    <s v="Returning"/>
    <n v="0.2"/>
    <s v="Credit Card"/>
    <s v="Retail"/>
    <s v="East-David"/>
    <n v="4342.7999999999956"/>
  </r>
  <r>
    <n v="1092"/>
    <d v="2023-06-17T00:00:00"/>
    <s v="David"/>
    <s v="East"/>
    <n v="862.02"/>
    <n v="21"/>
    <x v="2"/>
    <n v="2792.2"/>
    <n v="3254.55"/>
    <s v="New"/>
    <n v="0.02"/>
    <s v="Credit Card"/>
    <s v="Retail"/>
    <s v="East-David"/>
    <n v="9709.3500000000076"/>
  </r>
  <r>
    <n v="1062"/>
    <d v="2023-04-02T00:00:00"/>
    <s v="Bob"/>
    <s v="East"/>
    <n v="6991.95"/>
    <n v="10"/>
    <x v="2"/>
    <n v="1524.88"/>
    <n v="1636.14"/>
    <s v="New"/>
    <n v="0.2"/>
    <s v="Bank Transfer"/>
    <s v="Online"/>
    <s v="East-Bob"/>
    <n v="1112.5999999999999"/>
  </r>
  <r>
    <n v="1063"/>
    <d v="2023-12-19T00:00:00"/>
    <s v="Charlie"/>
    <s v="West"/>
    <n v="3889.71"/>
    <n v="46"/>
    <x v="0"/>
    <n v="2302.62"/>
    <n v="2740.93"/>
    <s v="Returning"/>
    <n v="0.25"/>
    <s v="Bank Transfer"/>
    <s v="Online"/>
    <s v="West-Charlie"/>
    <n v="20162.259999999998"/>
  </r>
  <r>
    <n v="1025"/>
    <d v="2023-02-28T00:00:00"/>
    <s v="Bob"/>
    <s v="East"/>
    <n v="8236.1299999999992"/>
    <n v="14"/>
    <x v="3"/>
    <n v="859.59"/>
    <n v="884.51"/>
    <s v="New"/>
    <n v="0.12"/>
    <s v="Bank Transfer"/>
    <s v="Online"/>
    <s v="East-Bob"/>
    <n v="348.87999999999943"/>
  </r>
  <r>
    <n v="1056"/>
    <d v="2023-02-28T00:00:00"/>
    <s v="Eve"/>
    <s v="North"/>
    <n v="6629.16"/>
    <n v="37"/>
    <x v="3"/>
    <n v="1555.41"/>
    <n v="1609.94"/>
    <s v="Returning"/>
    <n v="0.16"/>
    <s v="Credit Card"/>
    <s v="Online"/>
    <s v="North-Eve"/>
    <n v="2017.609999999999"/>
  </r>
  <r>
    <n v="1033"/>
    <d v="2023-10-31T00:00:00"/>
    <s v="Eve"/>
    <s v="East"/>
    <n v="7982.79"/>
    <n v="18"/>
    <x v="0"/>
    <n v="3124.48"/>
    <n v="3553.27"/>
    <s v="Returning"/>
    <n v="0.12"/>
    <s v="Cash"/>
    <s v="Retail"/>
    <s v="East-Eve"/>
    <n v="7718.2199999999993"/>
  </r>
  <r>
    <n v="1038"/>
    <d v="2023-06-18T00:00:00"/>
    <s v="Eve"/>
    <s v="West"/>
    <n v="2792.27"/>
    <n v="24"/>
    <x v="2"/>
    <n v="1543.91"/>
    <n v="1862.88"/>
    <s v="New"/>
    <n v="0.09"/>
    <s v="Bank Transfer"/>
    <s v="Online"/>
    <s v="West-Eve"/>
    <n v="7655.2800000000007"/>
  </r>
  <r>
    <n v="1006"/>
    <d v="2023-09-26T00:00:00"/>
    <s v="Bob"/>
    <s v="East"/>
    <n v="6954.35"/>
    <n v="14"/>
    <x v="1"/>
    <n v="4503.7299999999996"/>
    <n v="4879.88"/>
    <s v="New"/>
    <n v="0.24"/>
    <s v="Bank Transfer"/>
    <s v="Retail"/>
    <s v="East-Bob"/>
    <n v="5266.1000000000076"/>
  </r>
  <r>
    <n v="1058"/>
    <d v="2023-12-29T00:00:00"/>
    <s v="David"/>
    <s v="North"/>
    <n v="2714.21"/>
    <n v="34"/>
    <x v="3"/>
    <n v="3160.61"/>
    <n v="3273.22"/>
    <s v="Returning"/>
    <n v="0.08"/>
    <s v="Credit Card"/>
    <s v="Retail"/>
    <s v="North-David"/>
    <n v="3828.7399999999889"/>
  </r>
  <r>
    <n v="1044"/>
    <d v="2023-02-14T00:00:00"/>
    <s v="David"/>
    <s v="West"/>
    <n v="9396.7800000000007"/>
    <n v="12"/>
    <x v="3"/>
    <n v="2221.31"/>
    <n v="2494.48"/>
    <s v="Returning"/>
    <n v="0.22"/>
    <s v="Bank Transfer"/>
    <s v="Online"/>
    <s v="West-David"/>
    <n v="3278.0400000000009"/>
  </r>
  <r>
    <n v="1045"/>
    <d v="2023-12-11T00:00:00"/>
    <s v="Alice"/>
    <s v="West"/>
    <n v="6400.11"/>
    <n v="22"/>
    <x v="2"/>
    <n v="241.85"/>
    <n v="613.09"/>
    <s v="Returning"/>
    <n v="0.06"/>
    <s v="Cash"/>
    <s v="Online"/>
    <s v="West-Alice"/>
    <n v="8167.2800000000007"/>
  </r>
  <r>
    <n v="1032"/>
    <d v="2023-06-30T00:00:00"/>
    <s v="Eve"/>
    <s v="North"/>
    <n v="3312.67"/>
    <n v="6"/>
    <x v="2"/>
    <n v="2522.7600000000002"/>
    <n v="2840.14"/>
    <s v="Returning"/>
    <n v="7.0000000000000007E-2"/>
    <s v="Credit Card"/>
    <s v="Retail"/>
    <s v="North-Eve"/>
    <n v="1904.2799999999979"/>
  </r>
  <r>
    <n v="1045"/>
    <d v="2023-06-19T00:00:00"/>
    <s v="David"/>
    <s v="North"/>
    <n v="2768.17"/>
    <n v="36"/>
    <x v="3"/>
    <n v="3835.64"/>
    <n v="4076.77"/>
    <s v="Returning"/>
    <n v="0.1"/>
    <s v="Credit Card"/>
    <s v="Retail"/>
    <s v="North-David"/>
    <n v="8680.6800000000039"/>
  </r>
  <r>
    <n v="1061"/>
    <d v="2023-12-22T00:00:00"/>
    <s v="Alice"/>
    <s v="North"/>
    <n v="1990.17"/>
    <n v="45"/>
    <x v="2"/>
    <n v="1364.51"/>
    <n v="1844.8"/>
    <s v="Returning"/>
    <n v="0.18"/>
    <s v="Cash"/>
    <s v="Online"/>
    <s v="North-Alice"/>
    <n v="21613.05"/>
  </r>
  <r>
    <n v="1047"/>
    <d v="2023-07-10T00:00:00"/>
    <s v="David"/>
    <s v="North"/>
    <n v="6976.95"/>
    <n v="36"/>
    <x v="1"/>
    <n v="4043.53"/>
    <n v="4384.8500000000004"/>
    <s v="New"/>
    <n v="0.14000000000000001"/>
    <s v="Cash"/>
    <s v="Online"/>
    <s v="North-David"/>
    <n v="12287.520000000006"/>
  </r>
  <r>
    <n v="1021"/>
    <d v="2023-06-04T00:00:00"/>
    <s v="Eve"/>
    <s v="North"/>
    <n v="2265.2800000000002"/>
    <n v="22"/>
    <x v="3"/>
    <n v="1296.44"/>
    <n v="1751.24"/>
    <s v="New"/>
    <n v="0.22"/>
    <s v="Cash"/>
    <s v="Online"/>
    <s v="North-Eve"/>
    <n v="10005.599999999999"/>
  </r>
  <r>
    <n v="1080"/>
    <d v="2023-07-07T00:00:00"/>
    <s v="Charlie"/>
    <s v="West"/>
    <n v="5993.5"/>
    <n v="14"/>
    <x v="1"/>
    <n v="4127.54"/>
    <n v="4495.13"/>
    <s v="New"/>
    <n v="0.06"/>
    <s v="Bank Transfer"/>
    <s v="Retail"/>
    <s v="West-Charlie"/>
    <n v="5146.260000000002"/>
  </r>
  <r>
    <n v="1085"/>
    <d v="2023-01-07T00:00:00"/>
    <s v="Eve"/>
    <s v="West"/>
    <n v="2719.89"/>
    <n v="16"/>
    <x v="1"/>
    <n v="472.08"/>
    <n v="842.46"/>
    <s v="New"/>
    <n v="0"/>
    <s v="Cash"/>
    <s v="Retail"/>
    <s v="West-Eve"/>
    <n v="5926.0800000000008"/>
  </r>
  <r>
    <n v="1075"/>
    <d v="2023-05-13T00:00:00"/>
    <s v="Bob"/>
    <s v="East"/>
    <n v="6653.49"/>
    <n v="36"/>
    <x v="2"/>
    <n v="4337.6099999999997"/>
    <n v="4386.82"/>
    <s v="Returning"/>
    <n v="0.23"/>
    <s v="Credit Card"/>
    <s v="Online"/>
    <s v="East-Bob"/>
    <n v="1771.5600000000013"/>
  </r>
  <r>
    <n v="1036"/>
    <d v="2023-08-23T00:00:00"/>
    <s v="David"/>
    <s v="East"/>
    <n v="8167.9"/>
    <n v="25"/>
    <x v="1"/>
    <n v="2520.9699999999998"/>
    <n v="2707.11"/>
    <s v="New"/>
    <n v="0.25"/>
    <s v="Cash"/>
    <s v="Retail"/>
    <s v="East-David"/>
    <n v="4653.5000000000082"/>
  </r>
  <r>
    <n v="1099"/>
    <d v="2023-02-14T00:00:00"/>
    <s v="David"/>
    <s v="South"/>
    <n v="7802.45"/>
    <n v="32"/>
    <x v="2"/>
    <n v="1517.86"/>
    <n v="1948.46"/>
    <s v="New"/>
    <n v="0.02"/>
    <s v="Credit Card"/>
    <s v="Online"/>
    <s v="South-David"/>
    <n v="13779.200000000004"/>
  </r>
  <r>
    <n v="1019"/>
    <d v="2023-11-10T00:00:00"/>
    <s v="Bob"/>
    <s v="East"/>
    <n v="7632.43"/>
    <n v="33"/>
    <x v="0"/>
    <n v="1362.31"/>
    <n v="1486.29"/>
    <s v="Returning"/>
    <n v="0.18"/>
    <s v="Credit Card"/>
    <s v="Retail"/>
    <s v="East-Bob"/>
    <n v="4091.3400000000006"/>
  </r>
  <r>
    <n v="1020"/>
    <d v="2023-09-06T00:00:00"/>
    <s v="Bob"/>
    <s v="East"/>
    <n v="1958.45"/>
    <n v="45"/>
    <x v="2"/>
    <n v="2188.4499999999998"/>
    <n v="2255.0500000000002"/>
    <s v="New"/>
    <n v="0.11"/>
    <s v="Bank Transfer"/>
    <s v="Retail"/>
    <s v="East-Bob"/>
    <n v="2997.0000000000164"/>
  </r>
  <r>
    <n v="1057"/>
    <d v="2023-01-31T00:00:00"/>
    <s v="Charlie"/>
    <s v="North"/>
    <n v="975.01"/>
    <n v="36"/>
    <x v="1"/>
    <n v="4995.3"/>
    <n v="5165.09"/>
    <s v="Returning"/>
    <n v="0.24"/>
    <s v="Cash"/>
    <s v="Online"/>
    <s v="North-Charlie"/>
    <n v="6112.4399999999987"/>
  </r>
  <r>
    <n v="1018"/>
    <d v="2023-01-23T00:00:00"/>
    <s v="David"/>
    <s v="North"/>
    <n v="7019.59"/>
    <n v="20"/>
    <x v="0"/>
    <n v="1140.6199999999999"/>
    <n v="1258.6300000000001"/>
    <s v="Returning"/>
    <n v="0.26"/>
    <s v="Bank Transfer"/>
    <s v="Online"/>
    <s v="North-David"/>
    <n v="2360.2000000000044"/>
  </r>
  <r>
    <n v="1047"/>
    <d v="2023-06-09T00:00:00"/>
    <s v="David"/>
    <s v="East"/>
    <n v="3746.64"/>
    <n v="18"/>
    <x v="2"/>
    <n v="560.91999999999996"/>
    <n v="1024.31"/>
    <s v="Returning"/>
    <n v="0.26"/>
    <s v="Cash"/>
    <s v="Online"/>
    <s v="East-David"/>
    <n v="8341.02"/>
  </r>
  <r>
    <n v="1049"/>
    <d v="2023-12-29T00:00:00"/>
    <s v="Charlie"/>
    <s v="South"/>
    <n v="4380.2299999999996"/>
    <n v="38"/>
    <x v="1"/>
    <n v="2945.92"/>
    <n v="3381.22"/>
    <s v="Returning"/>
    <n v="0.23"/>
    <s v="Cash"/>
    <s v="Retail"/>
    <s v="South-Charlie"/>
    <n v="16541.399999999991"/>
  </r>
  <r>
    <n v="1014"/>
    <d v="2023-06-07T00:00:00"/>
    <s v="Alice"/>
    <s v="North"/>
    <n v="408.38"/>
    <n v="3"/>
    <x v="3"/>
    <n v="2468.29"/>
    <n v="2723.13"/>
    <s v="Returning"/>
    <n v="0.08"/>
    <s v="Cash"/>
    <s v="Retail"/>
    <s v="North-Alice"/>
    <n v="764.52000000000044"/>
  </r>
  <r>
    <n v="1015"/>
    <d v="2023-02-08T00:00:00"/>
    <s v="Charlie"/>
    <s v="East"/>
    <n v="2669.81"/>
    <n v="23"/>
    <x v="3"/>
    <n v="2644.77"/>
    <n v="2684.83"/>
    <s v="New"/>
    <n v="0.24"/>
    <s v="Cash"/>
    <s v="Online"/>
    <s v="East-Charlie"/>
    <n v="921.37999999999874"/>
  </r>
  <r>
    <n v="1031"/>
    <d v="2023-03-23T00:00:00"/>
    <s v="Eve"/>
    <s v="East"/>
    <n v="433.4"/>
    <n v="32"/>
    <x v="2"/>
    <n v="3351.33"/>
    <n v="3711.47"/>
    <s v="New"/>
    <n v="0.16"/>
    <s v="Cash"/>
    <s v="Retail"/>
    <s v="East-Eve"/>
    <n v="11524.479999999996"/>
  </r>
  <r>
    <n v="1001"/>
    <d v="2023-12-22T00:00:00"/>
    <s v="David"/>
    <s v="West"/>
    <n v="8803.94"/>
    <n v="45"/>
    <x v="2"/>
    <n v="1372.36"/>
    <n v="1687.83"/>
    <s v="New"/>
    <n v="0.02"/>
    <s v="Credit Card"/>
    <s v="Online"/>
    <s v="West-David"/>
    <n v="14196.150000000001"/>
  </r>
  <r>
    <n v="1054"/>
    <d v="2023-09-15T00:00:00"/>
    <s v="Bob"/>
    <s v="South"/>
    <n v="2509.63"/>
    <n v="16"/>
    <x v="3"/>
    <n v="4557.79"/>
    <n v="5043.3599999999997"/>
    <s v="Returning"/>
    <n v="0.14000000000000001"/>
    <s v="Credit Card"/>
    <s v="Retail"/>
    <s v="South-Bob"/>
    <n v="7769.1199999999953"/>
  </r>
  <r>
    <n v="1003"/>
    <d v="2023-07-25T00:00:00"/>
    <s v="Eve"/>
    <s v="West"/>
    <n v="5617.64"/>
    <n v="5"/>
    <x v="1"/>
    <n v="2206.58"/>
    <n v="2490.4699999999998"/>
    <s v="New"/>
    <n v="0.28000000000000003"/>
    <s v="Cash"/>
    <s v="Online"/>
    <s v="West-Eve"/>
    <n v="1419.4499999999994"/>
  </r>
  <r>
    <n v="1016"/>
    <d v="2023-03-18T00:00:00"/>
    <s v="David"/>
    <s v="South"/>
    <n v="485.9"/>
    <n v="4"/>
    <x v="1"/>
    <n v="688.98"/>
    <n v="863.81"/>
    <s v="New"/>
    <n v="0.27"/>
    <s v="Credit Card"/>
    <s v="Retail"/>
    <s v="South-David"/>
    <n v="699.31999999999971"/>
  </r>
  <r>
    <n v="1087"/>
    <d v="2023-01-12T00:00:00"/>
    <s v="Charlie"/>
    <s v="North"/>
    <n v="6701.79"/>
    <n v="21"/>
    <x v="1"/>
    <n v="3724.38"/>
    <n v="3988.7"/>
    <s v="New"/>
    <n v="0.03"/>
    <s v="Bank Transfer"/>
    <s v="Retail"/>
    <s v="North-Charlie"/>
    <n v="5550.7199999999939"/>
  </r>
  <r>
    <n v="1057"/>
    <d v="2023-10-22T00:00:00"/>
    <s v="Eve"/>
    <s v="South"/>
    <n v="3297.97"/>
    <n v="40"/>
    <x v="2"/>
    <n v="3233.37"/>
    <n v="3723.21"/>
    <s v="New"/>
    <n v="0.22"/>
    <s v="Bank Transfer"/>
    <s v="Retail"/>
    <s v="South-Eve"/>
    <n v="19593.600000000006"/>
  </r>
  <r>
    <n v="1075"/>
    <d v="2023-08-12T00:00:00"/>
    <s v="David"/>
    <s v="East"/>
    <n v="8989.4"/>
    <n v="14"/>
    <x v="0"/>
    <n v="1612.93"/>
    <n v="1964.15"/>
    <s v="Returning"/>
    <n v="0.24"/>
    <s v="Bank Transfer"/>
    <s v="Retail"/>
    <s v="East-David"/>
    <n v="4917.08"/>
  </r>
  <r>
    <n v="1012"/>
    <d v="2023-01-13T00:00:00"/>
    <s v="Alice"/>
    <s v="East"/>
    <n v="8892.3700000000008"/>
    <n v="39"/>
    <x v="0"/>
    <n v="3126.52"/>
    <n v="3465.79"/>
    <s v="New"/>
    <n v="0.08"/>
    <s v="Cash"/>
    <s v="Online"/>
    <s v="East-Alice"/>
    <n v="13231.529999999999"/>
  </r>
  <r>
    <n v="1074"/>
    <d v="2023-02-15T00:00:00"/>
    <s v="Alice"/>
    <s v="South"/>
    <n v="3320.38"/>
    <n v="31"/>
    <x v="0"/>
    <n v="1138.32"/>
    <n v="1266.25"/>
    <s v="Returning"/>
    <n v="0.14000000000000001"/>
    <s v="Cash"/>
    <s v="Retail"/>
    <s v="South-Alice"/>
    <n v="3965.8300000000017"/>
  </r>
  <r>
    <n v="1096"/>
    <d v="2023-06-04T00:00:00"/>
    <s v="Bob"/>
    <s v="South"/>
    <n v="9019.51"/>
    <n v="14"/>
    <x v="0"/>
    <n v="2251.9499999999998"/>
    <n v="2626.32"/>
    <s v="Returning"/>
    <n v="0.21"/>
    <s v="Credit Card"/>
    <s v="Online"/>
    <s v="South-Bob"/>
    <n v="5241.1800000000048"/>
  </r>
  <r>
    <n v="1016"/>
    <d v="2023-04-23T00:00:00"/>
    <s v="David"/>
    <s v="South"/>
    <n v="9961.9599999999991"/>
    <n v="6"/>
    <x v="0"/>
    <n v="4502.09"/>
    <n v="4879.72"/>
    <s v="New"/>
    <n v="0.13"/>
    <s v="Credit Card"/>
    <s v="Online"/>
    <s v="South-David"/>
    <n v="2265.7800000000007"/>
  </r>
  <r>
    <n v="1072"/>
    <d v="2023-08-21T00:00:00"/>
    <s v="Alice"/>
    <s v="West"/>
    <n v="8271.6200000000008"/>
    <n v="12"/>
    <x v="2"/>
    <n v="710.99"/>
    <n v="876.46"/>
    <s v="Returning"/>
    <n v="0.03"/>
    <s v="Credit Card"/>
    <s v="Online"/>
    <s v="West-Alice"/>
    <n v="1985.6400000000003"/>
  </r>
  <r>
    <n v="1076"/>
    <d v="2023-01-17T00:00:00"/>
    <s v="Charlie"/>
    <s v="South"/>
    <n v="8464.23"/>
    <n v="16"/>
    <x v="2"/>
    <n v="1964.15"/>
    <n v="2211.17"/>
    <s v="Returning"/>
    <n v="0.21"/>
    <s v="Bank Transfer"/>
    <s v="Online"/>
    <s v="South-Charlie"/>
    <n v="3952.3199999999997"/>
  </r>
  <r>
    <n v="1024"/>
    <d v="2023-12-26T00:00:00"/>
    <s v="David"/>
    <s v="North"/>
    <n v="2565.19"/>
    <n v="17"/>
    <x v="0"/>
    <n v="4114.66"/>
    <n v="4269.0200000000004"/>
    <s v="Returning"/>
    <n v="0.27"/>
    <s v="Bank Transfer"/>
    <s v="Retail"/>
    <s v="North-David"/>
    <n v="2624.1200000000099"/>
  </r>
  <r>
    <n v="1028"/>
    <d v="2023-08-11T00:00:00"/>
    <s v="Charlie"/>
    <s v="West"/>
    <n v="5809.35"/>
    <n v="45"/>
    <x v="2"/>
    <n v="4848.9799999999996"/>
    <n v="4985.75"/>
    <s v="Returning"/>
    <n v="0.2"/>
    <s v="Bank Transfer"/>
    <s v="Online"/>
    <s v="West-Charlie"/>
    <n v="6154.6500000000196"/>
  </r>
  <r>
    <n v="1008"/>
    <d v="2023-12-20T00:00:00"/>
    <s v="Charlie"/>
    <s v="West"/>
    <n v="765.83"/>
    <n v="23"/>
    <x v="2"/>
    <n v="2296.9299999999998"/>
    <n v="2319.62"/>
    <s v="Returning"/>
    <n v="0.23"/>
    <s v="Bank Transfer"/>
    <s v="Retail"/>
    <s v="West-Charlie"/>
    <n v="521.87000000000126"/>
  </r>
  <r>
    <n v="1092"/>
    <d v="2023-07-07T00:00:00"/>
    <s v="Alice"/>
    <s v="South"/>
    <n v="1039.69"/>
    <n v="14"/>
    <x v="0"/>
    <n v="2559.65"/>
    <n v="2709.4"/>
    <s v="Returning"/>
    <n v="0.11"/>
    <s v="Credit Card"/>
    <s v="Retail"/>
    <s v="South-Alice"/>
    <n v="2096.5"/>
  </r>
  <r>
    <n v="1036"/>
    <d v="2023-12-10T00:00:00"/>
    <s v="David"/>
    <s v="North"/>
    <n v="9989.0400000000009"/>
    <n v="7"/>
    <x v="1"/>
    <n v="2882.25"/>
    <n v="3163.7"/>
    <s v="Returning"/>
    <n v="0.05"/>
    <s v="Cash"/>
    <s v="Retail"/>
    <s v="North-David"/>
    <n v="1970.1499999999987"/>
  </r>
  <r>
    <n v="1090"/>
    <d v="2023-12-31T00:00:00"/>
    <s v="Eve"/>
    <s v="West"/>
    <n v="3333.73"/>
    <n v="46"/>
    <x v="2"/>
    <n v="4665.12"/>
    <n v="4675.8999999999996"/>
    <s v="New"/>
    <n v="0.19"/>
    <s v="Cash"/>
    <s v="Retail"/>
    <s v="West-Eve"/>
    <n v="495.87999999998829"/>
  </r>
  <r>
    <n v="1008"/>
    <d v="2023-06-12T00:00:00"/>
    <s v="Alice"/>
    <s v="East"/>
    <n v="7507.02"/>
    <n v="32"/>
    <x v="1"/>
    <n v="4298.12"/>
    <n v="4446.8999999999996"/>
    <s v="New"/>
    <n v="0.1"/>
    <s v="Bank Transfer"/>
    <s v="Online"/>
    <s v="East-Alice"/>
    <n v="4760.9599999999919"/>
  </r>
  <r>
    <n v="1058"/>
    <d v="2023-11-22T00:00:00"/>
    <s v="Alice"/>
    <s v="West"/>
    <n v="8085.98"/>
    <n v="15"/>
    <x v="2"/>
    <n v="894.48"/>
    <n v="1336.37"/>
    <s v="Returning"/>
    <n v="0.26"/>
    <s v="Cash"/>
    <s v="Retail"/>
    <s v="West-Alice"/>
    <n v="6628.3499999999985"/>
  </r>
  <r>
    <n v="1060"/>
    <d v="2023-03-15T00:00:00"/>
    <s v="David"/>
    <s v="South"/>
    <n v="8594.43"/>
    <n v="44"/>
    <x v="2"/>
    <n v="2211.9499999999998"/>
    <n v="2512.84"/>
    <s v="Returning"/>
    <n v="0.04"/>
    <s v="Cash"/>
    <s v="Online"/>
    <s v="South-David"/>
    <n v="13239.160000000014"/>
  </r>
  <r>
    <n v="1050"/>
    <d v="2023-08-21T00:00:00"/>
    <s v="David"/>
    <s v="North"/>
    <n v="9976.52"/>
    <n v="17"/>
    <x v="0"/>
    <n v="2346.8000000000002"/>
    <n v="2654.65"/>
    <s v="New"/>
    <n v="0.13"/>
    <s v="Cash"/>
    <s v="Retail"/>
    <s v="North-David"/>
    <n v="5233.4499999999989"/>
  </r>
  <r>
    <n v="1028"/>
    <d v="2023-08-12T00:00:00"/>
    <s v="Charlie"/>
    <s v="South"/>
    <n v="2490.8200000000002"/>
    <n v="41"/>
    <x v="2"/>
    <n v="3956.03"/>
    <n v="4163.68"/>
    <s v="New"/>
    <n v="0.12"/>
    <s v="Bank Transfer"/>
    <s v="Retail"/>
    <s v="South-Charlie"/>
    <n v="8513.6500000000033"/>
  </r>
  <r>
    <n v="1092"/>
    <d v="2023-11-15T00:00:00"/>
    <s v="David"/>
    <s v="East"/>
    <n v="499.47"/>
    <n v="47"/>
    <x v="3"/>
    <n v="3034.32"/>
    <n v="3375.79"/>
    <s v="New"/>
    <n v="0.28000000000000003"/>
    <s v="Credit Card"/>
    <s v="Online"/>
    <s v="East-David"/>
    <n v="16049.089999999991"/>
  </r>
  <r>
    <n v="1041"/>
    <d v="2023-03-01T00:00:00"/>
    <s v="Charlie"/>
    <s v="East"/>
    <n v="4170.8"/>
    <n v="44"/>
    <x v="3"/>
    <n v="3288.39"/>
    <n v="3391.46"/>
    <s v="New"/>
    <n v="0.05"/>
    <s v="Credit Card"/>
    <s v="Retail"/>
    <s v="East-Charlie"/>
    <n v="4535.0800000000072"/>
  </r>
  <r>
    <n v="1100"/>
    <d v="2023-12-01T00:00:00"/>
    <s v="Alice"/>
    <s v="East"/>
    <n v="1387.8"/>
    <n v="34"/>
    <x v="0"/>
    <n v="4991.09"/>
    <n v="5402.28"/>
    <s v="Returning"/>
    <n v="0"/>
    <s v="Cash"/>
    <s v="Retail"/>
    <s v="East-Alice"/>
    <n v="13980.459999999986"/>
  </r>
  <r>
    <n v="1064"/>
    <d v="2023-08-10T00:00:00"/>
    <s v="Bob"/>
    <s v="South"/>
    <n v="322.02"/>
    <n v="5"/>
    <x v="1"/>
    <n v="421.05"/>
    <n v="488.23"/>
    <s v="Returning"/>
    <n v="7.0000000000000007E-2"/>
    <s v="Credit Card"/>
    <s v="Retail"/>
    <s v="South-Bob"/>
    <n v="335.90000000000003"/>
  </r>
  <r>
    <n v="1027"/>
    <d v="2023-02-06T00:00:00"/>
    <s v="Eve"/>
    <s v="West"/>
    <n v="3668.23"/>
    <n v="45"/>
    <x v="1"/>
    <n v="1153.9000000000001"/>
    <n v="1485.34"/>
    <s v="New"/>
    <n v="0.25"/>
    <s v="Credit Card"/>
    <s v="Retail"/>
    <s v="West-Eve"/>
    <n v="14914.799999999992"/>
  </r>
  <r>
    <n v="1063"/>
    <d v="2023-10-05T00:00:00"/>
    <s v="Alice"/>
    <s v="South"/>
    <n v="7859.01"/>
    <n v="27"/>
    <x v="1"/>
    <n v="2069.08"/>
    <n v="2246.2399999999998"/>
    <s v="New"/>
    <n v="0.06"/>
    <s v="Bank Transfer"/>
    <s v="Retail"/>
    <s v="South-Alice"/>
    <n v="4783.3199999999961"/>
  </r>
  <r>
    <n v="1017"/>
    <d v="2023-07-15T00:00:00"/>
    <s v="David"/>
    <s v="North"/>
    <n v="5705.19"/>
    <n v="23"/>
    <x v="3"/>
    <n v="1771.52"/>
    <n v="2147.8000000000002"/>
    <s v="New"/>
    <n v="7.0000000000000007E-2"/>
    <s v="Bank Transfer"/>
    <s v="Online"/>
    <s v="North-David"/>
    <n v="8654.4400000000041"/>
  </r>
  <r>
    <n v="1073"/>
    <d v="2023-12-18T00:00:00"/>
    <s v="Eve"/>
    <s v="West"/>
    <n v="3196.5"/>
    <n v="40"/>
    <x v="1"/>
    <n v="157.15"/>
    <n v="436.53"/>
    <s v="New"/>
    <n v="0.04"/>
    <s v="Cash"/>
    <s v="Retail"/>
    <s v="West-Eve"/>
    <n v="11175.2"/>
  </r>
  <r>
    <n v="1033"/>
    <d v="2023-08-30T00:00:00"/>
    <s v="Bob"/>
    <s v="East"/>
    <n v="6577.99"/>
    <n v="14"/>
    <x v="1"/>
    <n v="504.3"/>
    <n v="735.95"/>
    <s v="Returning"/>
    <n v="0.21"/>
    <s v="Cash"/>
    <s v="Retail"/>
    <s v="East-Bob"/>
    <n v="3243.1000000000004"/>
  </r>
  <r>
    <n v="1084"/>
    <d v="2023-11-20T00:00:00"/>
    <s v="Bob"/>
    <s v="South"/>
    <n v="2396.98"/>
    <n v="15"/>
    <x v="0"/>
    <n v="3420.72"/>
    <n v="3513.74"/>
    <s v="New"/>
    <n v="0.02"/>
    <s v="Cash"/>
    <s v="Online"/>
    <s v="South-Bob"/>
    <n v="1395.2999999999997"/>
  </r>
  <r>
    <n v="1077"/>
    <d v="2023-08-07T00:00:00"/>
    <s v="Charlie"/>
    <s v="East"/>
    <n v="242.38"/>
    <n v="43"/>
    <x v="1"/>
    <n v="4402.66"/>
    <n v="4724.7"/>
    <s v="New"/>
    <n v="0.1"/>
    <s v="Bank Transfer"/>
    <s v="Retail"/>
    <s v="East-Charlie"/>
    <n v="13847.719999999998"/>
  </r>
  <r>
    <n v="1092"/>
    <d v="2023-07-11T00:00:00"/>
    <s v="Eve"/>
    <s v="East"/>
    <n v="7667.1"/>
    <n v="33"/>
    <x v="3"/>
    <n v="2595.42"/>
    <n v="3083.06"/>
    <s v="New"/>
    <n v="0.08"/>
    <s v="Credit Card"/>
    <s v="Online"/>
    <s v="East-Eve"/>
    <n v="16092.119999999995"/>
  </r>
  <r>
    <n v="1029"/>
    <d v="2023-01-17T00:00:00"/>
    <s v="Charlie"/>
    <s v="North"/>
    <n v="6275.06"/>
    <n v="31"/>
    <x v="3"/>
    <n v="2719"/>
    <n v="3133.55"/>
    <s v="Returning"/>
    <n v="0.17"/>
    <s v="Bank Transfer"/>
    <s v="Retail"/>
    <s v="North-Charlie"/>
    <n v="12851.050000000007"/>
  </r>
  <r>
    <n v="1013"/>
    <d v="2023-01-12T00:00:00"/>
    <s v="Alice"/>
    <s v="West"/>
    <n v="7646.8"/>
    <n v="35"/>
    <x v="3"/>
    <n v="1312.71"/>
    <n v="1352.11"/>
    <s v="Returning"/>
    <n v="0.22"/>
    <s v="Bank Transfer"/>
    <s v="Retail"/>
    <s v="West-Alice"/>
    <n v="1378.9999999999952"/>
  </r>
  <r>
    <n v="1046"/>
    <d v="2023-07-12T00:00:00"/>
    <s v="Eve"/>
    <s v="North"/>
    <n v="485.49"/>
    <n v="17"/>
    <x v="0"/>
    <n v="3850.99"/>
    <n v="4045.34"/>
    <s v="Returning"/>
    <n v="0.16"/>
    <s v="Credit Card"/>
    <s v="Online"/>
    <s v="North-Eve"/>
    <n v="3303.9500000000062"/>
  </r>
  <r>
    <n v="1035"/>
    <d v="2023-01-22T00:00:00"/>
    <s v="Alice"/>
    <s v="North"/>
    <n v="8387.48"/>
    <n v="28"/>
    <x v="0"/>
    <n v="3771.38"/>
    <n v="4234.92"/>
    <s v="New"/>
    <n v="0.28000000000000003"/>
    <s v="Credit Card"/>
    <s v="Retail"/>
    <s v="North-Alice"/>
    <n v="12979.119999999999"/>
  </r>
  <r>
    <n v="1006"/>
    <d v="2023-04-30T00:00:00"/>
    <s v="Charlie"/>
    <s v="North"/>
    <n v="6233.31"/>
    <n v="19"/>
    <x v="2"/>
    <n v="2962.41"/>
    <n v="3218.9"/>
    <s v="New"/>
    <n v="0.28999999999999998"/>
    <s v="Cash"/>
    <s v="Retail"/>
    <s v="North-Charlie"/>
    <n v="4873.3100000000049"/>
  </r>
  <r>
    <n v="1082"/>
    <d v="2023-07-29T00:00:00"/>
    <s v="Eve"/>
    <s v="East"/>
    <n v="5677.61"/>
    <n v="46"/>
    <x v="1"/>
    <n v="1102.69"/>
    <n v="1437.12"/>
    <s v="New"/>
    <n v="0.11"/>
    <s v="Credit Card"/>
    <s v="Online"/>
    <s v="East-Eve"/>
    <n v="15383.779999999992"/>
  </r>
  <r>
    <n v="1069"/>
    <d v="2023-11-02T00:00:00"/>
    <s v="Charlie"/>
    <s v="North"/>
    <n v="6283.68"/>
    <n v="23"/>
    <x v="0"/>
    <n v="530.24"/>
    <n v="987.41"/>
    <s v="Returning"/>
    <n v="0.23"/>
    <s v="Credit Card"/>
    <s v="Online"/>
    <s v="North-Charlie"/>
    <n v="10514.91"/>
  </r>
  <r>
    <n v="1047"/>
    <d v="2023-09-27T00:00:00"/>
    <s v="Eve"/>
    <s v="North"/>
    <n v="8657.89"/>
    <n v="32"/>
    <x v="3"/>
    <n v="367.98"/>
    <n v="806.14"/>
    <s v="Returning"/>
    <n v="0.22"/>
    <s v="Credit Card"/>
    <s v="Retail"/>
    <s v="North-Eve"/>
    <n v="14021.119999999999"/>
  </r>
  <r>
    <n v="1025"/>
    <d v="2023-07-11T00:00:00"/>
    <s v="Charlie"/>
    <s v="West"/>
    <n v="5910.67"/>
    <n v="40"/>
    <x v="3"/>
    <n v="2983.85"/>
    <n v="3239.74"/>
    <s v="New"/>
    <n v="0.27"/>
    <s v="Credit Card"/>
    <s v="Online"/>
    <s v="West-Charlie"/>
    <n v="10235.599999999995"/>
  </r>
  <r>
    <n v="1066"/>
    <d v="2023-06-24T00:00:00"/>
    <s v="Bob"/>
    <s v="West"/>
    <n v="5851.41"/>
    <n v="13"/>
    <x v="0"/>
    <n v="4133.92"/>
    <n v="4358.37"/>
    <s v="New"/>
    <n v="0.13"/>
    <s v="Cash"/>
    <s v="Retail"/>
    <s v="West-Bob"/>
    <n v="2917.8499999999976"/>
  </r>
  <r>
    <n v="1010"/>
    <d v="2023-10-12T00:00:00"/>
    <s v="Charlie"/>
    <s v="North"/>
    <n v="9907.7199999999993"/>
    <n v="20"/>
    <x v="0"/>
    <n v="4298.74"/>
    <n v="4475.1899999999996"/>
    <s v="Returning"/>
    <n v="0.16"/>
    <s v="Cash"/>
    <s v="Online"/>
    <s v="North-Charlie"/>
    <n v="3528.9999999999964"/>
  </r>
  <r>
    <n v="1056"/>
    <d v="2023-07-23T00:00:00"/>
    <s v="Bob"/>
    <s v="West"/>
    <n v="7591.63"/>
    <n v="35"/>
    <x v="0"/>
    <n v="2344.9299999999998"/>
    <n v="2707.25"/>
    <s v="New"/>
    <n v="0.12"/>
    <s v="Credit Card"/>
    <s v="Retail"/>
    <s v="West-Bob"/>
    <n v="12681.200000000006"/>
  </r>
  <r>
    <n v="1030"/>
    <d v="2023-06-13T00:00:00"/>
    <s v="Charlie"/>
    <s v="West"/>
    <n v="4478.71"/>
    <n v="5"/>
    <x v="2"/>
    <n v="3932.14"/>
    <n v="4082.76"/>
    <s v="New"/>
    <n v="0.26"/>
    <s v="Credit Card"/>
    <s v="Online"/>
    <s v="West-Charlie"/>
    <n v="753.10000000000173"/>
  </r>
  <r>
    <n v="1005"/>
    <d v="2023-09-08T00:00:00"/>
    <s v="Eve"/>
    <s v="North"/>
    <n v="7103.23"/>
    <n v="9"/>
    <x v="3"/>
    <n v="4737.0600000000004"/>
    <n v="4869.5"/>
    <s v="New"/>
    <n v="7.0000000000000007E-2"/>
    <s v="Cash"/>
    <s v="Online"/>
    <s v="North-Eve"/>
    <n v="1191.9599999999964"/>
  </r>
  <r>
    <n v="1033"/>
    <d v="2023-08-15T00:00:00"/>
    <s v="Eve"/>
    <s v="East"/>
    <n v="3953.38"/>
    <n v="29"/>
    <x v="2"/>
    <n v="1412.09"/>
    <n v="1596.65"/>
    <s v="Returning"/>
    <n v="7.0000000000000007E-2"/>
    <s v="Cash"/>
    <s v="Online"/>
    <s v="East-Eve"/>
    <n v="5352.2400000000052"/>
  </r>
  <r>
    <n v="1065"/>
    <d v="2023-01-07T00:00:00"/>
    <s v="Eve"/>
    <s v="North"/>
    <n v="2365.87"/>
    <n v="6"/>
    <x v="2"/>
    <n v="2019.9"/>
    <n v="2116.7399999999998"/>
    <s v="New"/>
    <n v="0.11"/>
    <s v="Credit Card"/>
    <s v="Online"/>
    <s v="North-Eve"/>
    <n v="581.03999999999814"/>
  </r>
  <r>
    <n v="1018"/>
    <d v="2023-01-29T00:00:00"/>
    <s v="David"/>
    <s v="West"/>
    <n v="6008.83"/>
    <n v="25"/>
    <x v="1"/>
    <n v="4660.82"/>
    <n v="5011.43"/>
    <s v="New"/>
    <n v="7.0000000000000007E-2"/>
    <s v="Bank Transfer"/>
    <s v="Online"/>
    <s v="West-David"/>
    <n v="8765.2500000000146"/>
  </r>
  <r>
    <n v="1096"/>
    <d v="2023-02-02T00:00:00"/>
    <s v="Alice"/>
    <s v="East"/>
    <n v="9289"/>
    <n v="31"/>
    <x v="3"/>
    <n v="1724.24"/>
    <n v="2036.2"/>
    <s v="New"/>
    <n v="0.17"/>
    <s v="Cash"/>
    <s v="Online"/>
    <s v="East-Alice"/>
    <n v="9670.760000000002"/>
  </r>
  <r>
    <n v="1049"/>
    <d v="2023-05-14T00:00:00"/>
    <s v="Eve"/>
    <s v="South"/>
    <n v="9298.48"/>
    <n v="22"/>
    <x v="3"/>
    <n v="4573.6899999999996"/>
    <n v="4820.3"/>
    <s v="New"/>
    <n v="0.04"/>
    <s v="Cash"/>
    <s v="Online"/>
    <s v="South-Eve"/>
    <n v="5425.4200000000128"/>
  </r>
  <r>
    <n v="1011"/>
    <d v="2023-03-20T00:00:00"/>
    <s v="Bob"/>
    <s v="East"/>
    <n v="3484.86"/>
    <n v="2"/>
    <x v="0"/>
    <n v="4906.17"/>
    <n v="5107.43"/>
    <s v="Returning"/>
    <n v="0.1"/>
    <s v="Cash"/>
    <s v="Online"/>
    <s v="East-Bob"/>
    <n v="402.52000000000044"/>
  </r>
  <r>
    <n v="1085"/>
    <d v="2023-02-27T00:00:00"/>
    <s v="Eve"/>
    <s v="West"/>
    <n v="5324.01"/>
    <n v="45"/>
    <x v="0"/>
    <n v="3325.96"/>
    <n v="3781.4"/>
    <s v="Returning"/>
    <n v="0.27"/>
    <s v="Credit Card"/>
    <s v="Online"/>
    <s v="West-Eve"/>
    <n v="20494.800000000003"/>
  </r>
  <r>
    <n v="1026"/>
    <d v="2023-01-26T00:00:00"/>
    <s v="David"/>
    <s v="East"/>
    <n v="2195.1999999999998"/>
    <n v="5"/>
    <x v="1"/>
    <n v="4093.61"/>
    <n v="4117.88"/>
    <s v="Returning"/>
    <n v="0.12"/>
    <s v="Credit Card"/>
    <s v="Retail"/>
    <s v="East-David"/>
    <n v="121.34999999999991"/>
  </r>
  <r>
    <n v="1063"/>
    <d v="2023-08-14T00:00:00"/>
    <s v="Bob"/>
    <s v="North"/>
    <n v="9956.75"/>
    <n v="27"/>
    <x v="2"/>
    <n v="3760.25"/>
    <n v="4147.1099999999997"/>
    <s v="New"/>
    <n v="0.22"/>
    <s v="Cash"/>
    <s v="Online"/>
    <s v="North-Bob"/>
    <n v="10445.21999999999"/>
  </r>
  <r>
    <n v="1089"/>
    <d v="2023-10-12T00:00:00"/>
    <s v="David"/>
    <s v="South"/>
    <n v="9813.07"/>
    <n v="25"/>
    <x v="0"/>
    <n v="3512.69"/>
    <n v="3964.63"/>
    <s v="Returning"/>
    <n v="0.03"/>
    <s v="Credit Card"/>
    <s v="Retail"/>
    <s v="South-David"/>
    <n v="11298.500000000002"/>
  </r>
  <r>
    <n v="1086"/>
    <d v="2023-01-04T00:00:00"/>
    <s v="Bob"/>
    <s v="South"/>
    <n v="6530.14"/>
    <n v="8"/>
    <x v="0"/>
    <n v="1569.31"/>
    <n v="1798.02"/>
    <s v="New"/>
    <n v="7.0000000000000007E-2"/>
    <s v="Credit Card"/>
    <s v="Online"/>
    <s v="South-Bob"/>
    <n v="1829.6800000000003"/>
  </r>
  <r>
    <n v="1059"/>
    <d v="2023-04-09T00:00:00"/>
    <s v="Charlie"/>
    <s v="South"/>
    <n v="8063.7"/>
    <n v="1"/>
    <x v="3"/>
    <n v="332.62"/>
    <n v="612.46"/>
    <s v="Returning"/>
    <n v="0.24"/>
    <s v="Cash"/>
    <s v="Retail"/>
    <s v="South-Charlie"/>
    <n v="279.84000000000003"/>
  </r>
  <r>
    <n v="1027"/>
    <d v="2023-02-08T00:00:00"/>
    <s v="Alice"/>
    <s v="West"/>
    <n v="7179.49"/>
    <n v="20"/>
    <x v="3"/>
    <n v="1748.11"/>
    <n v="2220.9"/>
    <s v="New"/>
    <n v="0.23"/>
    <s v="Credit Card"/>
    <s v="Retail"/>
    <s v="West-Alice"/>
    <n v="9455.8000000000029"/>
  </r>
  <r>
    <n v="1049"/>
    <d v="2023-09-28T00:00:00"/>
    <s v="Alice"/>
    <s v="West"/>
    <n v="5972.27"/>
    <n v="44"/>
    <x v="0"/>
    <n v="3351.33"/>
    <n v="3465.35"/>
    <s v="Returning"/>
    <n v="0.12"/>
    <s v="Bank Transfer"/>
    <s v="Online"/>
    <s v="West-Alice"/>
    <n v="5016.8799999999992"/>
  </r>
  <r>
    <n v="1077"/>
    <d v="2023-10-12T00:00:00"/>
    <s v="David"/>
    <s v="South"/>
    <n v="628.15"/>
    <n v="23"/>
    <x v="3"/>
    <n v="557.52"/>
    <n v="822.39"/>
    <s v="Returning"/>
    <n v="0.28999999999999998"/>
    <s v="Credit Card"/>
    <s v="Online"/>
    <s v="South-David"/>
    <n v="6092.01"/>
  </r>
  <r>
    <n v="1033"/>
    <d v="2023-06-06T00:00:00"/>
    <s v="Alice"/>
    <s v="East"/>
    <n v="4602.17"/>
    <n v="32"/>
    <x v="1"/>
    <n v="108.99"/>
    <n v="351.6"/>
    <s v="Returning"/>
    <n v="0.27"/>
    <s v="Credit Card"/>
    <s v="Retail"/>
    <s v="East-Alice"/>
    <n v="7763.52"/>
  </r>
  <r>
    <n v="1098"/>
    <d v="2023-03-16T00:00:00"/>
    <s v="David"/>
    <s v="South"/>
    <n v="6780.38"/>
    <n v="11"/>
    <x v="0"/>
    <n v="741.48"/>
    <n v="878.09"/>
    <s v="New"/>
    <n v="0.28999999999999998"/>
    <s v="Cash"/>
    <s v="Retail"/>
    <s v="South-David"/>
    <n v="1502.71"/>
  </r>
  <r>
    <n v="1099"/>
    <d v="2023-10-15T00:00:00"/>
    <s v="David"/>
    <s v="East"/>
    <n v="6807.56"/>
    <n v="39"/>
    <x v="3"/>
    <n v="3592.89"/>
    <n v="4004"/>
    <s v="New"/>
    <n v="0.13"/>
    <s v="Cash"/>
    <s v="Online"/>
    <s v="East-David"/>
    <n v="16033.290000000005"/>
  </r>
  <r>
    <n v="1001"/>
    <d v="2023-05-10T00:00:00"/>
    <s v="David"/>
    <s v="East"/>
    <n v="3793.91"/>
    <n v="47"/>
    <x v="1"/>
    <n v="4865.33"/>
    <n v="5316.13"/>
    <s v="New"/>
    <n v="0.06"/>
    <s v="Bank Transfer"/>
    <s v="Online"/>
    <s v="East-David"/>
    <n v="21187.600000000009"/>
  </r>
  <r>
    <n v="1021"/>
    <d v="2023-06-24T00:00:00"/>
    <s v="Alice"/>
    <s v="West"/>
    <n v="9422.75"/>
    <n v="24"/>
    <x v="3"/>
    <n v="4916.17"/>
    <n v="5309.32"/>
    <s v="Returning"/>
    <n v="0.19"/>
    <s v="Credit Card"/>
    <s v="Online"/>
    <s v="West-Alice"/>
    <n v="9435.5999999999913"/>
  </r>
  <r>
    <n v="1055"/>
    <d v="2023-03-25T00:00:00"/>
    <s v="David"/>
    <s v="East"/>
    <n v="1756.83"/>
    <n v="11"/>
    <x v="3"/>
    <n v="2495.1999999999998"/>
    <n v="2600.9299999999998"/>
    <s v="New"/>
    <n v="0.21"/>
    <s v="Bank Transfer"/>
    <s v="Retail"/>
    <s v="East-David"/>
    <n v="1163.0300000000002"/>
  </r>
  <r>
    <n v="1006"/>
    <d v="2023-01-22T00:00:00"/>
    <s v="Alice"/>
    <s v="South"/>
    <n v="5053.5600000000004"/>
    <n v="29"/>
    <x v="3"/>
    <n v="4353.29"/>
    <n v="4405.8"/>
    <s v="New"/>
    <n v="0.04"/>
    <s v="Bank Transfer"/>
    <s v="Online"/>
    <s v="South-Alice"/>
    <n v="1522.7900000000063"/>
  </r>
  <r>
    <n v="1092"/>
    <d v="2023-01-27T00:00:00"/>
    <s v="David"/>
    <s v="West"/>
    <n v="6939.75"/>
    <n v="26"/>
    <x v="0"/>
    <n v="3697.29"/>
    <n v="4003.96"/>
    <s v="New"/>
    <n v="0.24"/>
    <s v="Cash"/>
    <s v="Online"/>
    <s v="West-David"/>
    <n v="7973.4200000000019"/>
  </r>
  <r>
    <n v="1081"/>
    <d v="2023-07-14T00:00:00"/>
    <s v="Eve"/>
    <s v="North"/>
    <n v="7001.64"/>
    <n v="16"/>
    <x v="2"/>
    <n v="2530.15"/>
    <n v="2568.13"/>
    <s v="New"/>
    <n v="0.01"/>
    <s v="Credit Card"/>
    <s v="Online"/>
    <s v="North-Eve"/>
    <n v="607.68000000000029"/>
  </r>
  <r>
    <n v="1069"/>
    <d v="2023-12-03T00:00:00"/>
    <s v="David"/>
    <s v="North"/>
    <n v="6521.53"/>
    <n v="35"/>
    <x v="3"/>
    <n v="2885.16"/>
    <n v="3224.84"/>
    <s v="New"/>
    <n v="0.14000000000000001"/>
    <s v="Cash"/>
    <s v="Online"/>
    <s v="North-David"/>
    <n v="11888.80000000001"/>
  </r>
  <r>
    <n v="1095"/>
    <d v="2023-08-24T00:00:00"/>
    <s v="Bob"/>
    <s v="West"/>
    <n v="2825.35"/>
    <n v="20"/>
    <x v="1"/>
    <n v="729.27"/>
    <n v="999.18"/>
    <s v="New"/>
    <n v="0.1"/>
    <s v="Bank Transfer"/>
    <s v="Online"/>
    <s v="West-Bob"/>
    <n v="5398.1999999999989"/>
  </r>
  <r>
    <n v="1005"/>
    <d v="2023-04-02T00:00:00"/>
    <s v="David"/>
    <s v="South"/>
    <n v="1646.45"/>
    <n v="46"/>
    <x v="0"/>
    <n v="4691.42"/>
    <n v="5026.1899999999996"/>
    <s v="Returning"/>
    <n v="0.22"/>
    <s v="Bank Transfer"/>
    <s v="Retail"/>
    <s v="South-David"/>
    <n v="15399.419999999978"/>
  </r>
  <r>
    <n v="1003"/>
    <d v="2023-01-21T00:00:00"/>
    <s v="Charlie"/>
    <s v="North"/>
    <n v="6395.81"/>
    <n v="3"/>
    <x v="0"/>
    <n v="1792.05"/>
    <n v="2091.23"/>
    <s v="Returning"/>
    <n v="0.09"/>
    <s v="Cash"/>
    <s v="Retail"/>
    <s v="North-Charlie"/>
    <n v="897.54000000000019"/>
  </r>
  <r>
    <n v="1053"/>
    <d v="2023-10-30T00:00:00"/>
    <s v="David"/>
    <s v="North"/>
    <n v="6033.09"/>
    <n v="1"/>
    <x v="1"/>
    <n v="2258.44"/>
    <n v="2475.56"/>
    <s v="New"/>
    <n v="0.25"/>
    <s v="Cash"/>
    <s v="Online"/>
    <s v="North-David"/>
    <n v="217.11999999999989"/>
  </r>
  <r>
    <n v="1023"/>
    <d v="2023-12-23T00:00:00"/>
    <s v="Bob"/>
    <s v="East"/>
    <n v="1875.62"/>
    <n v="47"/>
    <x v="3"/>
    <n v="3374.72"/>
    <n v="3483.15"/>
    <s v="Returning"/>
    <n v="0.18"/>
    <s v="Cash"/>
    <s v="Online"/>
    <s v="East-Bob"/>
    <n v="5096.2100000000137"/>
  </r>
  <r>
    <n v="1053"/>
    <d v="2023-03-25T00:00:00"/>
    <s v="Bob"/>
    <s v="East"/>
    <n v="7080.88"/>
    <n v="1"/>
    <x v="2"/>
    <n v="1702.82"/>
    <n v="1862.61"/>
    <s v="Returning"/>
    <n v="0.24"/>
    <s v="Cash"/>
    <s v="Retail"/>
    <s v="East-Bob"/>
    <n v="159.78999999999996"/>
  </r>
  <r>
    <n v="1037"/>
    <d v="2023-09-19T00:00:00"/>
    <s v="Alice"/>
    <s v="South"/>
    <n v="4606.2"/>
    <n v="17"/>
    <x v="3"/>
    <n v="1308.58"/>
    <n v="1575.59"/>
    <s v="New"/>
    <n v="0.3"/>
    <s v="Cash"/>
    <s v="Online"/>
    <s v="South-Alice"/>
    <n v="4539.17"/>
  </r>
  <r>
    <n v="1074"/>
    <d v="2023-05-27T00:00:00"/>
    <s v="Eve"/>
    <s v="West"/>
    <n v="6710.83"/>
    <n v="2"/>
    <x v="1"/>
    <n v="3173.69"/>
    <n v="3503.11"/>
    <s v="New"/>
    <n v="0.2"/>
    <s v="Bank Transfer"/>
    <s v="Retail"/>
    <s v="West-Eve"/>
    <n v="658.84000000000015"/>
  </r>
  <r>
    <n v="1074"/>
    <d v="2023-09-14T00:00:00"/>
    <s v="David"/>
    <s v="South"/>
    <n v="8389.93"/>
    <n v="29"/>
    <x v="0"/>
    <n v="173.67"/>
    <n v="565.62"/>
    <s v="Returning"/>
    <n v="0.3"/>
    <s v="Cash"/>
    <s v="Online"/>
    <s v="South-David"/>
    <n v="11366.550000000001"/>
  </r>
  <r>
    <n v="1083"/>
    <d v="2023-02-27T00:00:00"/>
    <s v="Alice"/>
    <s v="West"/>
    <n v="1780.31"/>
    <n v="20"/>
    <x v="2"/>
    <n v="3617.59"/>
    <n v="4003.5"/>
    <s v="New"/>
    <n v="0.01"/>
    <s v="Credit Card"/>
    <s v="Retail"/>
    <s v="West-Alice"/>
    <n v="7718.1999999999971"/>
  </r>
  <r>
    <n v="1017"/>
    <d v="2023-01-15T00:00:00"/>
    <s v="Eve"/>
    <s v="North"/>
    <n v="289.52999999999997"/>
    <n v="6"/>
    <x v="0"/>
    <n v="2594.42"/>
    <n v="3081.04"/>
    <s v="Returning"/>
    <n v="0.1"/>
    <s v="Bank Transfer"/>
    <s v="Retail"/>
    <s v="North-Eve"/>
    <n v="2919.7199999999993"/>
  </r>
  <r>
    <n v="1085"/>
    <d v="2023-06-11T00:00:00"/>
    <s v="David"/>
    <s v="East"/>
    <n v="7813.12"/>
    <n v="8"/>
    <x v="1"/>
    <n v="3048.48"/>
    <n v="3198.54"/>
    <s v="Returning"/>
    <n v="0.03"/>
    <s v="Bank Transfer"/>
    <s v="Online"/>
    <s v="East-David"/>
    <n v="1200.4799999999996"/>
  </r>
  <r>
    <n v="1078"/>
    <d v="2023-06-12T00:00:00"/>
    <s v="Charlie"/>
    <s v="South"/>
    <n v="6136"/>
    <n v="29"/>
    <x v="3"/>
    <n v="3177.81"/>
    <n v="3222.65"/>
    <s v="Returning"/>
    <n v="0.08"/>
    <s v="Credit Card"/>
    <s v="Retail"/>
    <s v="South-Charlie"/>
    <n v="1300.3600000000042"/>
  </r>
  <r>
    <n v="1073"/>
    <d v="2023-11-16T00:00:00"/>
    <s v="David"/>
    <s v="South"/>
    <n v="7026.43"/>
    <n v="48"/>
    <x v="2"/>
    <n v="2658.9"/>
    <n v="2838.27"/>
    <s v="New"/>
    <n v="0.25"/>
    <s v="Credit Card"/>
    <s v="Online"/>
    <s v="South-David"/>
    <n v="8609.7599999999948"/>
  </r>
  <r>
    <n v="1001"/>
    <d v="2023-10-08T00:00:00"/>
    <s v="Bob"/>
    <s v="West"/>
    <n v="8397.73"/>
    <n v="33"/>
    <x v="0"/>
    <n v="2933.54"/>
    <n v="3307.75"/>
    <s v="Returning"/>
    <n v="0.01"/>
    <s v="Bank Transfer"/>
    <s v="Retail"/>
    <s v="West-Bob"/>
    <n v="12348.93"/>
  </r>
  <r>
    <n v="1051"/>
    <d v="2023-10-07T00:00:00"/>
    <s v="Bob"/>
    <s v="West"/>
    <n v="8047.83"/>
    <n v="3"/>
    <x v="0"/>
    <n v="3434.75"/>
    <n v="3659.42"/>
    <s v="New"/>
    <n v="0.16"/>
    <s v="Cash"/>
    <s v="Online"/>
    <s v="West-Bob"/>
    <n v="674.01000000000022"/>
  </r>
  <r>
    <n v="1045"/>
    <d v="2023-01-12T00:00:00"/>
    <s v="Charlie"/>
    <s v="South"/>
    <n v="9613.11"/>
    <n v="35"/>
    <x v="0"/>
    <n v="3777.94"/>
    <n v="4188.66"/>
    <s v="New"/>
    <n v="0.17"/>
    <s v="Bank Transfer"/>
    <s v="Online"/>
    <s v="South-Charlie"/>
    <n v="14375.199999999993"/>
  </r>
  <r>
    <n v="1077"/>
    <d v="2023-10-01T00:00:00"/>
    <s v="Alice"/>
    <s v="West"/>
    <n v="5405.76"/>
    <n v="5"/>
    <x v="3"/>
    <n v="3650.89"/>
    <n v="3930.06"/>
    <s v="New"/>
    <n v="0.17"/>
    <s v="Bank Transfer"/>
    <s v="Online"/>
    <s v="West-Alice"/>
    <n v="1395.8500000000004"/>
  </r>
  <r>
    <n v="1004"/>
    <d v="2023-09-28T00:00:00"/>
    <s v="Eve"/>
    <s v="South"/>
    <n v="4936.1099999999997"/>
    <n v="27"/>
    <x v="2"/>
    <n v="4354.6000000000004"/>
    <n v="4820.2"/>
    <s v="New"/>
    <n v="0.14000000000000001"/>
    <s v="Credit Card"/>
    <s v="Retail"/>
    <s v="South-Eve"/>
    <n v="12571.199999999986"/>
  </r>
  <r>
    <n v="1062"/>
    <d v="2023-07-27T00:00:00"/>
    <s v="David"/>
    <s v="South"/>
    <n v="4078.68"/>
    <n v="44"/>
    <x v="3"/>
    <n v="987.74"/>
    <n v="1462.19"/>
    <s v="New"/>
    <n v="0.24"/>
    <s v="Bank Transfer"/>
    <s v="Online"/>
    <s v="South-David"/>
    <n v="20875.800000000003"/>
  </r>
  <r>
    <n v="1065"/>
    <d v="2023-01-27T00:00:00"/>
    <s v="Bob"/>
    <s v="South"/>
    <n v="1621.54"/>
    <n v="12"/>
    <x v="3"/>
    <n v="2035.68"/>
    <n v="2079.64"/>
    <s v="Returning"/>
    <n v="0.04"/>
    <s v="Cash"/>
    <s v="Online"/>
    <s v="South-Bob"/>
    <n v="527.51999999999771"/>
  </r>
  <r>
    <n v="1032"/>
    <d v="2023-03-13T00:00:00"/>
    <s v="Alice"/>
    <s v="North"/>
    <n v="5768.81"/>
    <n v="20"/>
    <x v="3"/>
    <n v="4741.59"/>
    <n v="4975.2299999999996"/>
    <s v="New"/>
    <n v="0.09"/>
    <s v="Credit Card"/>
    <s v="Online"/>
    <s v="North-Alice"/>
    <n v="4672.7999999999884"/>
  </r>
  <r>
    <n v="1034"/>
    <d v="2023-03-01T00:00:00"/>
    <s v="Charlie"/>
    <s v="West"/>
    <n v="2842.42"/>
    <n v="45"/>
    <x v="1"/>
    <n v="2013.12"/>
    <n v="2321.87"/>
    <s v="New"/>
    <n v="0.18"/>
    <s v="Bank Transfer"/>
    <s v="Retail"/>
    <s v="West-Charlie"/>
    <n v="13893.75"/>
  </r>
  <r>
    <n v="1092"/>
    <d v="2023-05-25T00:00:00"/>
    <s v="Bob"/>
    <s v="East"/>
    <n v="9220.94"/>
    <n v="20"/>
    <x v="1"/>
    <n v="668.11"/>
    <n v="803.49"/>
    <s v="New"/>
    <n v="0.21"/>
    <s v="Bank Transfer"/>
    <s v="Online"/>
    <s v="East-Bob"/>
    <n v="2707.6"/>
  </r>
  <r>
    <n v="1095"/>
    <d v="2023-04-03T00:00:00"/>
    <s v="Charlie"/>
    <s v="East"/>
    <n v="5873.59"/>
    <n v="9"/>
    <x v="1"/>
    <n v="2650.95"/>
    <n v="2860.42"/>
    <s v="New"/>
    <n v="0.12"/>
    <s v="Cash"/>
    <s v="Retail"/>
    <s v="East-Charlie"/>
    <n v="1885.2300000000023"/>
  </r>
  <r>
    <n v="1072"/>
    <d v="2023-11-05T00:00:00"/>
    <s v="David"/>
    <s v="West"/>
    <n v="5969.12"/>
    <n v="39"/>
    <x v="2"/>
    <n v="591.98"/>
    <n v="934.04"/>
    <s v="New"/>
    <n v="0.26"/>
    <s v="Bank Transfer"/>
    <s v="Retail"/>
    <s v="West-David"/>
    <n v="13340.339999999998"/>
  </r>
  <r>
    <n v="1039"/>
    <d v="2023-01-08T00:00:00"/>
    <s v="Eve"/>
    <s v="South"/>
    <n v="3613.75"/>
    <n v="4"/>
    <x v="3"/>
    <n v="1054.1199999999999"/>
    <n v="1175.22"/>
    <s v="Returning"/>
    <n v="0.12"/>
    <s v="Bank Transfer"/>
    <s v="Retail"/>
    <s v="South-Eve"/>
    <n v="484.40000000000055"/>
  </r>
  <r>
    <n v="1026"/>
    <d v="2023-03-20T00:00:00"/>
    <s v="Bob"/>
    <s v="East"/>
    <n v="614.69000000000005"/>
    <n v="19"/>
    <x v="3"/>
    <n v="4991.68"/>
    <n v="5296.65"/>
    <s v="New"/>
    <n v="0.12"/>
    <s v="Bank Transfer"/>
    <s v="Online"/>
    <s v="East-Bob"/>
    <n v="5794.4299999999876"/>
  </r>
  <r>
    <n v="1034"/>
    <d v="2023-01-27T00:00:00"/>
    <s v="Bob"/>
    <s v="East"/>
    <n v="414.26"/>
    <n v="38"/>
    <x v="1"/>
    <n v="2729.75"/>
    <n v="3081.5"/>
    <s v="New"/>
    <n v="0.01"/>
    <s v="Bank Transfer"/>
    <s v="Online"/>
    <s v="East-Bob"/>
    <n v="13366.5"/>
  </r>
  <r>
    <n v="1054"/>
    <d v="2023-06-23T00:00:00"/>
    <s v="David"/>
    <s v="West"/>
    <n v="4291.0200000000004"/>
    <n v="27"/>
    <x v="3"/>
    <n v="1456.09"/>
    <n v="1510.43"/>
    <s v="Returning"/>
    <n v="0.17"/>
    <s v="Cash"/>
    <s v="Retail"/>
    <s v="West-David"/>
    <n v="1467.1800000000039"/>
  </r>
  <r>
    <n v="1003"/>
    <d v="2023-02-19T00:00:00"/>
    <s v="Alice"/>
    <s v="East"/>
    <n v="937.2"/>
    <n v="45"/>
    <x v="3"/>
    <n v="4974.1400000000003"/>
    <n v="5227.93"/>
    <s v="New"/>
    <n v="0.21"/>
    <s v="Bank Transfer"/>
    <s v="Online"/>
    <s v="East-Alice"/>
    <n v="11420.55"/>
  </r>
  <r>
    <n v="1050"/>
    <d v="2023-07-18T00:00:00"/>
    <s v="Eve"/>
    <s v="South"/>
    <n v="6107.78"/>
    <n v="43"/>
    <x v="0"/>
    <n v="4834.47"/>
    <n v="4973.38"/>
    <s v="Returning"/>
    <n v="0.03"/>
    <s v="Bank Transfer"/>
    <s v="Online"/>
    <s v="South-Eve"/>
    <n v="5973.1299999999937"/>
  </r>
  <r>
    <n v="1012"/>
    <d v="2023-12-15T00:00:00"/>
    <s v="Bob"/>
    <s v="West"/>
    <n v="8821.6299999999992"/>
    <n v="13"/>
    <x v="3"/>
    <n v="2231.66"/>
    <n v="2596.61"/>
    <s v="Returning"/>
    <n v="0.09"/>
    <s v="Bank Transfer"/>
    <s v="Retail"/>
    <s v="West-Bob"/>
    <n v="4744.350000000004"/>
  </r>
  <r>
    <n v="1065"/>
    <d v="2023-06-30T00:00:00"/>
    <s v="Eve"/>
    <s v="South"/>
    <n v="8840.86"/>
    <n v="13"/>
    <x v="0"/>
    <n v="1339"/>
    <n v="1441.88"/>
    <s v="Returning"/>
    <n v="0.23"/>
    <s v="Credit Card"/>
    <s v="Retail"/>
    <s v="South-Eve"/>
    <n v="1337.4400000000014"/>
  </r>
  <r>
    <n v="1054"/>
    <d v="2023-01-24T00:00:00"/>
    <s v="Bob"/>
    <s v="East"/>
    <n v="6624.55"/>
    <n v="22"/>
    <x v="3"/>
    <n v="4200.08"/>
    <n v="4647.28"/>
    <s v="Returning"/>
    <n v="0.11"/>
    <s v="Cash"/>
    <s v="Online"/>
    <s v="East-Bob"/>
    <n v="9838.399999999996"/>
  </r>
  <r>
    <n v="1005"/>
    <d v="2023-11-12T00:00:00"/>
    <s v="Eve"/>
    <s v="East"/>
    <n v="2191.1999999999998"/>
    <n v="28"/>
    <x v="2"/>
    <n v="3592.32"/>
    <n v="3813.48"/>
    <s v="New"/>
    <n v="7.0000000000000007E-2"/>
    <s v="Credit Card"/>
    <s v="Retail"/>
    <s v="East-Eve"/>
    <n v="6192.4799999999959"/>
  </r>
  <r>
    <n v="1094"/>
    <d v="2023-02-15T00:00:00"/>
    <s v="Charlie"/>
    <s v="South"/>
    <n v="8643.67"/>
    <n v="47"/>
    <x v="1"/>
    <n v="3450.36"/>
    <n v="3557.38"/>
    <s v="New"/>
    <n v="0.2"/>
    <s v="Credit Card"/>
    <s v="Online"/>
    <s v="South-Charlie"/>
    <n v="5029.9399999999987"/>
  </r>
  <r>
    <n v="1094"/>
    <d v="2023-01-15T00:00:00"/>
    <s v="Bob"/>
    <s v="North"/>
    <n v="8872.33"/>
    <n v="45"/>
    <x v="0"/>
    <n v="4470.91"/>
    <n v="4695.54"/>
    <s v="Returning"/>
    <n v="0.06"/>
    <s v="Cash"/>
    <s v="Retail"/>
    <s v="North-Bob"/>
    <n v="10108.350000000006"/>
  </r>
  <r>
    <n v="1057"/>
    <d v="2023-06-02T00:00:00"/>
    <s v="Eve"/>
    <s v="East"/>
    <n v="2046.87"/>
    <n v="22"/>
    <x v="1"/>
    <n v="3462.61"/>
    <n v="3672.89"/>
    <s v="Returning"/>
    <n v="0.27"/>
    <s v="Credit Card"/>
    <s v="Online"/>
    <s v="East-Eve"/>
    <n v="4626.1599999999944"/>
  </r>
  <r>
    <n v="1017"/>
    <d v="2023-08-10T00:00:00"/>
    <s v="Alice"/>
    <s v="North"/>
    <n v="7400.52"/>
    <n v="43"/>
    <x v="0"/>
    <n v="1454.8"/>
    <n v="1674.97"/>
    <s v="New"/>
    <n v="0.03"/>
    <s v="Credit Card"/>
    <s v="Online"/>
    <s v="North-Alice"/>
    <n v="9467.3100000000031"/>
  </r>
  <r>
    <n v="1047"/>
    <d v="2023-07-25T00:00:00"/>
    <s v="Charlie"/>
    <s v="East"/>
    <n v="2936.54"/>
    <n v="19"/>
    <x v="0"/>
    <n v="3484.62"/>
    <n v="3781.55"/>
    <s v="Returning"/>
    <n v="0.21"/>
    <s v="Credit Card"/>
    <s v="Retail"/>
    <s v="East-Charlie"/>
    <n v="5641.6700000000055"/>
  </r>
  <r>
    <n v="1023"/>
    <d v="2023-09-30T00:00:00"/>
    <s v="Charlie"/>
    <s v="North"/>
    <n v="8046.14"/>
    <n v="8"/>
    <x v="0"/>
    <n v="1563.78"/>
    <n v="1829.16"/>
    <s v="Returning"/>
    <n v="0.15"/>
    <s v="Cash"/>
    <s v="Online"/>
    <s v="North-Charlie"/>
    <n v="2123.0400000000009"/>
  </r>
  <r>
    <n v="1079"/>
    <d v="2023-08-24T00:00:00"/>
    <s v="Alice"/>
    <s v="North"/>
    <n v="9972.66"/>
    <n v="8"/>
    <x v="2"/>
    <n v="3808.23"/>
    <n v="3891.62"/>
    <s v="Returning"/>
    <n v="0.26"/>
    <s v="Bank Transfer"/>
    <s v="Online"/>
    <s v="North-Alice"/>
    <n v="667.11999999999898"/>
  </r>
  <r>
    <n v="1085"/>
    <d v="2023-12-06T00:00:00"/>
    <s v="Eve"/>
    <s v="North"/>
    <n v="397.26"/>
    <n v="42"/>
    <x v="3"/>
    <n v="3117.75"/>
    <n v="3159.88"/>
    <s v="New"/>
    <n v="0.04"/>
    <s v="Cash"/>
    <s v="Retail"/>
    <s v="North-Eve"/>
    <n v="1769.4600000000046"/>
  </r>
  <r>
    <n v="1014"/>
    <d v="2023-08-16T00:00:00"/>
    <s v="David"/>
    <s v="South"/>
    <n v="8983.92"/>
    <n v="26"/>
    <x v="0"/>
    <n v="433.19"/>
    <n v="800.6"/>
    <s v="Returning"/>
    <n v="0.2"/>
    <s v="Cash"/>
    <s v="Online"/>
    <s v="South-David"/>
    <n v="9552.66"/>
  </r>
  <r>
    <n v="1066"/>
    <d v="2023-01-09T00:00:00"/>
    <s v="Alice"/>
    <s v="North"/>
    <n v="6264.04"/>
    <n v="48"/>
    <x v="2"/>
    <n v="2588.54"/>
    <n v="2872.8"/>
    <s v="New"/>
    <n v="0.17"/>
    <s v="Cash"/>
    <s v="Online"/>
    <s v="North-Alice"/>
    <n v="13644.48000000001"/>
  </r>
  <r>
    <n v="1075"/>
    <d v="2023-06-15T00:00:00"/>
    <s v="Eve"/>
    <s v="North"/>
    <n v="9736.49"/>
    <n v="26"/>
    <x v="0"/>
    <n v="1749.34"/>
    <n v="1935.25"/>
    <s v="New"/>
    <n v="0.14000000000000001"/>
    <s v="Credit Card"/>
    <s v="Online"/>
    <s v="North-Eve"/>
    <n v="4833.6600000000017"/>
  </r>
  <r>
    <n v="1051"/>
    <d v="2023-11-15T00:00:00"/>
    <s v="Alice"/>
    <s v="North"/>
    <n v="4703.59"/>
    <n v="23"/>
    <x v="3"/>
    <n v="1676.42"/>
    <n v="2082.52"/>
    <s v="New"/>
    <n v="0.15"/>
    <s v="Bank Transfer"/>
    <s v="Retail"/>
    <s v="North-Alice"/>
    <n v="9340.2999999999975"/>
  </r>
  <r>
    <n v="1038"/>
    <d v="2023-08-02T00:00:00"/>
    <s v="Alice"/>
    <s v="East"/>
    <n v="8489.14"/>
    <n v="43"/>
    <x v="0"/>
    <n v="3031.17"/>
    <n v="3231.32"/>
    <s v="Returning"/>
    <n v="0.22"/>
    <s v="Cash"/>
    <s v="Retail"/>
    <s v="East-Alice"/>
    <n v="8606.4500000000044"/>
  </r>
  <r>
    <n v="1064"/>
    <d v="2023-04-27T00:00:00"/>
    <s v="Bob"/>
    <s v="North"/>
    <n v="717.7"/>
    <n v="13"/>
    <x v="2"/>
    <n v="1645.51"/>
    <n v="2045.53"/>
    <s v="Returning"/>
    <n v="0.28000000000000003"/>
    <s v="Cash"/>
    <s v="Retail"/>
    <s v="North-Bob"/>
    <n v="5200.26"/>
  </r>
  <r>
    <n v="1098"/>
    <d v="2023-12-10T00:00:00"/>
    <s v="Eve"/>
    <s v="East"/>
    <n v="3419.26"/>
    <n v="28"/>
    <x v="3"/>
    <n v="3895.62"/>
    <n v="4055.44"/>
    <s v="New"/>
    <n v="0.03"/>
    <s v="Bank Transfer"/>
    <s v="Retail"/>
    <s v="East-Eve"/>
    <n v="4474.9600000000046"/>
  </r>
  <r>
    <n v="1038"/>
    <d v="2023-03-13T00:00:00"/>
    <s v="David"/>
    <s v="North"/>
    <n v="763.46"/>
    <n v="9"/>
    <x v="2"/>
    <n v="400.42"/>
    <n v="446.11"/>
    <s v="New"/>
    <n v="0.01"/>
    <s v="Bank Transfer"/>
    <s v="Retail"/>
    <s v="North-David"/>
    <n v="411.21"/>
  </r>
  <r>
    <n v="1050"/>
    <d v="2023-03-05T00:00:00"/>
    <s v="Bob"/>
    <s v="North"/>
    <n v="9755.9"/>
    <n v="20"/>
    <x v="3"/>
    <n v="3318.92"/>
    <n v="3785.91"/>
    <s v="New"/>
    <n v="0.24"/>
    <s v="Bank Transfer"/>
    <s v="Online"/>
    <s v="North-Bob"/>
    <n v="9339.7999999999956"/>
  </r>
  <r>
    <n v="1098"/>
    <d v="2023-07-24T00:00:00"/>
    <s v="Alice"/>
    <s v="South"/>
    <n v="8188.04"/>
    <n v="19"/>
    <x v="3"/>
    <n v="4055.51"/>
    <n v="4258.84"/>
    <s v="Returning"/>
    <n v="0.03"/>
    <s v="Credit Card"/>
    <s v="Online"/>
    <s v="South-Alice"/>
    <n v="3863.2699999999986"/>
  </r>
  <r>
    <n v="1082"/>
    <d v="2023-07-28T00:00:00"/>
    <s v="Alice"/>
    <s v="East"/>
    <n v="8540.2199999999993"/>
    <n v="48"/>
    <x v="1"/>
    <n v="3380.52"/>
    <n v="3778.94"/>
    <s v="Returning"/>
    <n v="0.3"/>
    <s v="Bank Transfer"/>
    <s v="Online"/>
    <s v="East-Alice"/>
    <n v="19124.160000000003"/>
  </r>
  <r>
    <n v="1030"/>
    <d v="2023-03-13T00:00:00"/>
    <s v="Alice"/>
    <s v="North"/>
    <n v="9385.86"/>
    <n v="39"/>
    <x v="1"/>
    <n v="2511.2800000000002"/>
    <n v="2658.06"/>
    <s v="New"/>
    <n v="0.19"/>
    <s v="Credit Card"/>
    <s v="Retail"/>
    <s v="North-Alice"/>
    <n v="5724.4199999999901"/>
  </r>
  <r>
    <n v="1079"/>
    <d v="2023-10-04T00:00:00"/>
    <s v="Eve"/>
    <s v="East"/>
    <n v="942.52"/>
    <n v="12"/>
    <x v="1"/>
    <n v="4754.0200000000004"/>
    <n v="5080.74"/>
    <s v="New"/>
    <n v="0.2"/>
    <s v="Cash"/>
    <s v="Online"/>
    <s v="East-Eve"/>
    <n v="3920.6399999999921"/>
  </r>
  <r>
    <n v="1091"/>
    <d v="2023-10-01T00:00:00"/>
    <s v="Eve"/>
    <s v="East"/>
    <n v="3917.42"/>
    <n v="15"/>
    <x v="3"/>
    <n v="1534.7"/>
    <n v="1972.62"/>
    <s v="Returning"/>
    <n v="0.06"/>
    <s v="Credit Card"/>
    <s v="Retail"/>
    <s v="East-Eve"/>
    <n v="6568.7999999999975"/>
  </r>
  <r>
    <n v="1051"/>
    <d v="2023-11-16T00:00:00"/>
    <s v="Bob"/>
    <s v="West"/>
    <n v="803.25"/>
    <n v="31"/>
    <x v="0"/>
    <n v="144.88"/>
    <n v="175.29"/>
    <s v="New"/>
    <n v="7.0000000000000007E-2"/>
    <s v="Bank Transfer"/>
    <s v="Online"/>
    <s v="West-Bob"/>
    <n v="942.70999999999992"/>
  </r>
  <r>
    <n v="1063"/>
    <d v="2023-12-04T00:00:00"/>
    <s v="David"/>
    <s v="South"/>
    <n v="2186.85"/>
    <n v="14"/>
    <x v="2"/>
    <n v="2188.35"/>
    <n v="2605.36"/>
    <s v="Returning"/>
    <n v="0.2"/>
    <s v="Credit Card"/>
    <s v="Retail"/>
    <s v="South-David"/>
    <n v="5838.1400000000031"/>
  </r>
  <r>
    <n v="1098"/>
    <d v="2024-01-01T00:00:00"/>
    <s v="Bob"/>
    <s v="South"/>
    <n v="2370.7199999999998"/>
    <n v="11"/>
    <x v="2"/>
    <n v="213.41"/>
    <n v="503.36"/>
    <s v="Returning"/>
    <n v="0.27"/>
    <s v="Bank Transfer"/>
    <s v="Online"/>
    <s v="South-Bob"/>
    <n v="3189.4500000000007"/>
  </r>
  <r>
    <n v="1052"/>
    <d v="2023-04-05T00:00:00"/>
    <s v="Charlie"/>
    <s v="South"/>
    <n v="4744.16"/>
    <n v="26"/>
    <x v="2"/>
    <n v="4771.99"/>
    <n v="5079.6499999999996"/>
    <s v="New"/>
    <n v="0.28999999999999998"/>
    <s v="Credit Card"/>
    <s v="Online"/>
    <s v="South-Charlie"/>
    <n v="7999.1599999999962"/>
  </r>
  <r>
    <n v="1038"/>
    <d v="2023-06-15T00:00:00"/>
    <s v="Alice"/>
    <s v="West"/>
    <n v="2758.77"/>
    <n v="42"/>
    <x v="1"/>
    <n v="1089.0899999999999"/>
    <n v="1355.44"/>
    <s v="New"/>
    <n v="0.06"/>
    <s v="Cash"/>
    <s v="Retail"/>
    <s v="West-Alice"/>
    <n v="11186.700000000006"/>
  </r>
  <r>
    <n v="1097"/>
    <d v="2023-02-01T00:00:00"/>
    <s v="Alice"/>
    <s v="West"/>
    <n v="1099.68"/>
    <n v="27"/>
    <x v="3"/>
    <n v="3955.19"/>
    <n v="4393.68"/>
    <s v="Returning"/>
    <n v="0.04"/>
    <s v="Credit Card"/>
    <s v="Online"/>
    <s v="West-Alice"/>
    <n v="11839.230000000007"/>
  </r>
  <r>
    <n v="1088"/>
    <d v="2023-01-11T00:00:00"/>
    <s v="Alice"/>
    <s v="South"/>
    <n v="1758.16"/>
    <n v="11"/>
    <x v="1"/>
    <n v="3884.13"/>
    <n v="3915.41"/>
    <s v="Returning"/>
    <n v="0.02"/>
    <s v="Cash"/>
    <s v="Online"/>
    <s v="South-Alice"/>
    <n v="344.0799999999972"/>
  </r>
  <r>
    <n v="1079"/>
    <d v="2023-10-28T00:00:00"/>
    <s v="Bob"/>
    <s v="West"/>
    <n v="1558.03"/>
    <n v="38"/>
    <x v="0"/>
    <n v="1127.76"/>
    <n v="1265.6600000000001"/>
    <s v="Returning"/>
    <n v="0.26"/>
    <s v="Bank Transfer"/>
    <s v="Retail"/>
    <s v="West-Bob"/>
    <n v="5240.2000000000035"/>
  </r>
  <r>
    <n v="1030"/>
    <d v="2023-08-05T00:00:00"/>
    <s v="Bob"/>
    <s v="West"/>
    <n v="9733.4599999999991"/>
    <n v="34"/>
    <x v="3"/>
    <n v="3125.07"/>
    <n v="3564.19"/>
    <s v="Returning"/>
    <n v="0.09"/>
    <s v="Cash"/>
    <s v="Online"/>
    <s v="West-Bob"/>
    <n v="14930.079999999996"/>
  </r>
  <r>
    <n v="1051"/>
    <d v="2023-10-16T00:00:00"/>
    <s v="Alice"/>
    <s v="West"/>
    <n v="7617"/>
    <n v="43"/>
    <x v="2"/>
    <n v="287.99"/>
    <n v="666.64"/>
    <s v="Returning"/>
    <n v="0"/>
    <s v="Bank Transfer"/>
    <s v="Online"/>
    <s v="West-Alice"/>
    <n v="16281.949999999999"/>
  </r>
  <r>
    <n v="1081"/>
    <d v="2023-04-12T00:00:00"/>
    <s v="Bob"/>
    <s v="South"/>
    <n v="9680.84"/>
    <n v="19"/>
    <x v="1"/>
    <n v="2443.69"/>
    <n v="2462.34"/>
    <s v="New"/>
    <n v="7.0000000000000007E-2"/>
    <s v="Bank Transfer"/>
    <s v="Retail"/>
    <s v="South-Bob"/>
    <n v="354.35000000000173"/>
  </r>
  <r>
    <n v="1005"/>
    <d v="2023-09-24T00:00:00"/>
    <s v="Eve"/>
    <s v="South"/>
    <n v="4453.43"/>
    <n v="6"/>
    <x v="1"/>
    <n v="122.5"/>
    <n v="385.83"/>
    <s v="Returning"/>
    <n v="0.1"/>
    <s v="Cash"/>
    <s v="Retail"/>
    <s v="South-Eve"/>
    <n v="1579.98"/>
  </r>
  <r>
    <n v="1029"/>
    <d v="2023-08-02T00:00:00"/>
    <s v="Eve"/>
    <s v="South"/>
    <n v="2855.85"/>
    <n v="46"/>
    <x v="0"/>
    <n v="4609.66"/>
    <n v="4879.1499999999996"/>
    <s v="Returning"/>
    <n v="0.3"/>
    <s v="Cash"/>
    <s v="Retail"/>
    <s v="South-Eve"/>
    <n v="12396.53999999999"/>
  </r>
  <r>
    <n v="1004"/>
    <d v="2023-06-28T00:00:00"/>
    <s v="Bob"/>
    <s v="West"/>
    <n v="8003.1"/>
    <n v="38"/>
    <x v="0"/>
    <n v="4881.63"/>
    <n v="5088.0600000000004"/>
    <s v="Returning"/>
    <n v="0.16"/>
    <s v="Credit Card"/>
    <s v="Retail"/>
    <s v="West-Bob"/>
    <n v="7844.3400000000111"/>
  </r>
  <r>
    <n v="1010"/>
    <d v="2023-03-29T00:00:00"/>
    <s v="Alice"/>
    <s v="South"/>
    <n v="3329.91"/>
    <n v="49"/>
    <x v="1"/>
    <n v="1150.3"/>
    <n v="1306.02"/>
    <s v="New"/>
    <n v="0.06"/>
    <s v="Credit Card"/>
    <s v="Retail"/>
    <s v="South-Alice"/>
    <n v="7630.2800000000016"/>
  </r>
  <r>
    <n v="1056"/>
    <d v="2023-02-10T00:00:00"/>
    <s v="Bob"/>
    <s v="West"/>
    <n v="3063.9"/>
    <n v="42"/>
    <x v="0"/>
    <n v="1080.1199999999999"/>
    <n v="1424.17"/>
    <s v="New"/>
    <n v="0.1"/>
    <s v="Cash"/>
    <s v="Online"/>
    <s v="West-Bob"/>
    <n v="14450.100000000008"/>
  </r>
  <r>
    <n v="1017"/>
    <d v="2023-03-17T00:00:00"/>
    <s v="Bob"/>
    <s v="North"/>
    <n v="2401.81"/>
    <n v="28"/>
    <x v="2"/>
    <n v="3780.91"/>
    <n v="3892.73"/>
    <s v="Returning"/>
    <n v="0.1"/>
    <s v="Cash"/>
    <s v="Retail"/>
    <s v="North-Bob"/>
    <n v="3130.9600000000046"/>
  </r>
  <r>
    <n v="1074"/>
    <d v="2023-02-15T00:00:00"/>
    <s v="Bob"/>
    <s v="West"/>
    <n v="1383.82"/>
    <n v="1"/>
    <x v="0"/>
    <n v="1304.23"/>
    <n v="1705.71"/>
    <s v="Returning"/>
    <n v="0.01"/>
    <s v="Cash"/>
    <s v="Retail"/>
    <s v="West-Bob"/>
    <n v="401.48"/>
  </r>
  <r>
    <n v="1017"/>
    <d v="2023-06-09T00:00:00"/>
    <s v="Charlie"/>
    <s v="East"/>
    <n v="2638.98"/>
    <n v="35"/>
    <x v="0"/>
    <n v="4480.63"/>
    <n v="4884.12"/>
    <s v="New"/>
    <n v="0.04"/>
    <s v="Cash"/>
    <s v="Online"/>
    <s v="East-Charlie"/>
    <n v="14122.149999999992"/>
  </r>
  <r>
    <n v="1084"/>
    <d v="2023-03-21T00:00:00"/>
    <s v="Eve"/>
    <s v="South"/>
    <n v="3617.67"/>
    <n v="40"/>
    <x v="1"/>
    <n v="2890.95"/>
    <n v="3104.43"/>
    <s v="New"/>
    <n v="0.21"/>
    <s v="Bank Transfer"/>
    <s v="Online"/>
    <s v="South-Eve"/>
    <n v="8539.2000000000007"/>
  </r>
  <r>
    <n v="1088"/>
    <d v="2023-11-06T00:00:00"/>
    <s v="David"/>
    <s v="South"/>
    <n v="6772.54"/>
    <n v="8"/>
    <x v="1"/>
    <n v="1786.35"/>
    <n v="1935.29"/>
    <s v="New"/>
    <n v="0.04"/>
    <s v="Cash"/>
    <s v="Online"/>
    <s v="South-David"/>
    <n v="1191.5200000000004"/>
  </r>
  <r>
    <n v="1069"/>
    <d v="2023-03-27T00:00:00"/>
    <s v="David"/>
    <s v="East"/>
    <n v="719.39"/>
    <n v="47"/>
    <x v="3"/>
    <n v="4171.83"/>
    <n v="4320.93"/>
    <s v="New"/>
    <n v="7.0000000000000007E-2"/>
    <s v="Cash"/>
    <s v="Online"/>
    <s v="East-David"/>
    <n v="7007.7000000000171"/>
  </r>
  <r>
    <n v="1034"/>
    <d v="2023-04-02T00:00:00"/>
    <s v="Charlie"/>
    <s v="West"/>
    <n v="2184.02"/>
    <n v="7"/>
    <x v="3"/>
    <n v="2492.36"/>
    <n v="2738.68"/>
    <s v="Returning"/>
    <n v="0.11"/>
    <s v="Cash"/>
    <s v="Online"/>
    <s v="West-Charlie"/>
    <n v="1724.239999999998"/>
  </r>
  <r>
    <n v="1006"/>
    <d v="2023-05-28T00:00:00"/>
    <s v="Bob"/>
    <s v="North"/>
    <n v="8109.33"/>
    <n v="11"/>
    <x v="1"/>
    <n v="4562.58"/>
    <n v="4925.17"/>
    <s v="New"/>
    <n v="0.23"/>
    <s v="Cash"/>
    <s v="Retail"/>
    <s v="North-Bob"/>
    <n v="3988.4900000000016"/>
  </r>
  <r>
    <n v="1053"/>
    <d v="2023-06-10T00:00:00"/>
    <s v="Charlie"/>
    <s v="East"/>
    <n v="1554.53"/>
    <n v="39"/>
    <x v="0"/>
    <n v="4643.67"/>
    <n v="4829.5200000000004"/>
    <s v="Returning"/>
    <n v="0.17"/>
    <s v="Bank Transfer"/>
    <s v="Online"/>
    <s v="East-Charlie"/>
    <n v="7248.1500000000142"/>
  </r>
  <r>
    <n v="1066"/>
    <d v="2023-07-21T00:00:00"/>
    <s v="Charlie"/>
    <s v="East"/>
    <n v="3492.19"/>
    <n v="4"/>
    <x v="0"/>
    <n v="868.83"/>
    <n v="1177.75"/>
    <s v="Returning"/>
    <n v="0.21"/>
    <s v="Credit Card"/>
    <s v="Retail"/>
    <s v="East-Charlie"/>
    <n v="1235.6799999999998"/>
  </r>
  <r>
    <n v="1077"/>
    <d v="2023-08-30T00:00:00"/>
    <s v="Alice"/>
    <s v="West"/>
    <n v="8660.1200000000008"/>
    <n v="25"/>
    <x v="3"/>
    <n v="61.5"/>
    <n v="258.92"/>
    <s v="New"/>
    <n v="0.17"/>
    <s v="Credit Card"/>
    <s v="Online"/>
    <s v="West-Alice"/>
    <n v="4935.5"/>
  </r>
  <r>
    <n v="1043"/>
    <d v="2023-12-19T00:00:00"/>
    <s v="Eve"/>
    <s v="South"/>
    <n v="1633.76"/>
    <n v="12"/>
    <x v="3"/>
    <n v="4920.46"/>
    <n v="5079.68"/>
    <s v="New"/>
    <n v="0.21"/>
    <s v="Credit Card"/>
    <s v="Retail"/>
    <s v="South-Eve"/>
    <n v="1910.6400000000031"/>
  </r>
  <r>
    <n v="1075"/>
    <d v="2023-01-02T00:00:00"/>
    <s v="David"/>
    <s v="West"/>
    <n v="919.09"/>
    <n v="26"/>
    <x v="3"/>
    <n v="4535.38"/>
    <n v="4557.5600000000004"/>
    <s v="New"/>
    <n v="0"/>
    <s v="Credit Card"/>
    <s v="Online"/>
    <s v="West-David"/>
    <n v="576.68000000000757"/>
  </r>
  <r>
    <n v="1023"/>
    <d v="2023-08-13T00:00:00"/>
    <s v="Bob"/>
    <s v="East"/>
    <n v="4896.93"/>
    <n v="38"/>
    <x v="2"/>
    <n v="324.45"/>
    <n v="336.37"/>
    <s v="New"/>
    <n v="0.28000000000000003"/>
    <s v="Credit Card"/>
    <s v="Retail"/>
    <s v="East-Bob"/>
    <n v="452.9600000000006"/>
  </r>
  <r>
    <n v="1055"/>
    <d v="2023-10-16T00:00:00"/>
    <s v="David"/>
    <s v="East"/>
    <n v="3093.95"/>
    <n v="46"/>
    <x v="2"/>
    <n v="4173.5200000000004"/>
    <n v="4294.8500000000004"/>
    <s v="Returning"/>
    <n v="0.03"/>
    <s v="Bank Transfer"/>
    <s v="Retail"/>
    <s v="East-David"/>
    <n v="5581.1799999999967"/>
  </r>
  <r>
    <n v="1080"/>
    <d v="2023-08-21T00:00:00"/>
    <s v="David"/>
    <s v="South"/>
    <n v="5677.74"/>
    <n v="12"/>
    <x v="3"/>
    <n v="2316.13"/>
    <n v="2525.27"/>
    <s v="Returning"/>
    <n v="0.12"/>
    <s v="Credit Card"/>
    <s v="Retail"/>
    <s v="South-David"/>
    <n v="2509.6799999999985"/>
  </r>
  <r>
    <n v="1095"/>
    <d v="2023-03-18T00:00:00"/>
    <s v="Eve"/>
    <s v="South"/>
    <n v="8057.67"/>
    <n v="43"/>
    <x v="0"/>
    <n v="1331.86"/>
    <n v="1758.98"/>
    <s v="Returning"/>
    <n v="0.23"/>
    <s v="Bank Transfer"/>
    <s v="Retail"/>
    <s v="South-Eve"/>
    <n v="18366.160000000003"/>
  </r>
  <r>
    <n v="1075"/>
    <d v="2023-04-26T00:00:00"/>
    <s v="David"/>
    <s v="South"/>
    <n v="1457.77"/>
    <n v="37"/>
    <x v="3"/>
    <n v="4399.8"/>
    <n v="4801.0600000000004"/>
    <s v="New"/>
    <n v="0.13"/>
    <s v="Bank Transfer"/>
    <s v="Retail"/>
    <s v="South-David"/>
    <n v="14846.620000000008"/>
  </r>
  <r>
    <n v="1016"/>
    <d v="2023-06-03T00:00:00"/>
    <s v="David"/>
    <s v="West"/>
    <n v="5848.92"/>
    <n v="46"/>
    <x v="2"/>
    <n v="1023.5"/>
    <n v="1164.4100000000001"/>
    <s v="Returning"/>
    <n v="0.28000000000000003"/>
    <s v="Credit Card"/>
    <s v="Retail"/>
    <s v="West-David"/>
    <n v="6481.8600000000042"/>
  </r>
  <r>
    <n v="1008"/>
    <d v="2023-04-13T00:00:00"/>
    <s v="Charlie"/>
    <s v="South"/>
    <n v="5104.54"/>
    <n v="24"/>
    <x v="0"/>
    <n v="4739.13"/>
    <n v="4868.95"/>
    <s v="New"/>
    <n v="0.14000000000000001"/>
    <s v="Credit Card"/>
    <s v="Retail"/>
    <s v="South-Charlie"/>
    <n v="3115.679999999993"/>
  </r>
  <r>
    <n v="1004"/>
    <d v="2023-07-13T00:00:00"/>
    <s v="Eve"/>
    <s v="East"/>
    <n v="1526.38"/>
    <n v="16"/>
    <x v="2"/>
    <n v="1067.83"/>
    <n v="1189.22"/>
    <s v="Returning"/>
    <n v="0.26"/>
    <s v="Credit Card"/>
    <s v="Retail"/>
    <s v="East-Eve"/>
    <n v="1942.2400000000016"/>
  </r>
  <r>
    <n v="1004"/>
    <d v="2023-06-15T00:00:00"/>
    <s v="Alice"/>
    <s v="East"/>
    <n v="6277.59"/>
    <n v="13"/>
    <x v="0"/>
    <n v="3087.73"/>
    <n v="3263.96"/>
    <s v="New"/>
    <n v="0.24"/>
    <s v="Cash"/>
    <s v="Retail"/>
    <s v="East-Alice"/>
    <n v="2290.9900000000002"/>
  </r>
  <r>
    <n v="1056"/>
    <d v="2023-12-25T00:00:00"/>
    <s v="Bob"/>
    <s v="North"/>
    <n v="2809.04"/>
    <n v="25"/>
    <x v="2"/>
    <n v="1154.28"/>
    <n v="1408.4"/>
    <s v="Returning"/>
    <n v="0.28999999999999998"/>
    <s v="Bank Transfer"/>
    <s v="Retail"/>
    <s v="North-Bob"/>
    <n v="6353.0000000000027"/>
  </r>
  <r>
    <n v="1025"/>
    <d v="2023-03-31T00:00:00"/>
    <s v="David"/>
    <s v="West"/>
    <n v="4929.5600000000004"/>
    <n v="4"/>
    <x v="0"/>
    <n v="2751.06"/>
    <n v="2976.01"/>
    <s v="Returning"/>
    <n v="0.28000000000000003"/>
    <s v="Credit Card"/>
    <s v="Online"/>
    <s v="West-David"/>
    <n v="899.80000000000109"/>
  </r>
  <r>
    <n v="1067"/>
    <d v="2023-06-23T00:00:00"/>
    <s v="Bob"/>
    <s v="North"/>
    <n v="914.5"/>
    <n v="11"/>
    <x v="0"/>
    <n v="3435.68"/>
    <n v="3552.63"/>
    <s v="New"/>
    <n v="0.27"/>
    <s v="Cash"/>
    <s v="Retail"/>
    <s v="North-Bob"/>
    <n v="1286.450000000003"/>
  </r>
  <r>
    <n v="1096"/>
    <d v="2023-05-02T00:00:00"/>
    <s v="Alice"/>
    <s v="East"/>
    <n v="4649.88"/>
    <n v="32"/>
    <x v="0"/>
    <n v="991.63"/>
    <n v="1065.55"/>
    <s v="Returning"/>
    <n v="0.22"/>
    <s v="Bank Transfer"/>
    <s v="Retail"/>
    <s v="East-Alice"/>
    <n v="2365.4399999999987"/>
  </r>
  <r>
    <n v="1067"/>
    <d v="2023-05-23T00:00:00"/>
    <s v="Bob"/>
    <s v="North"/>
    <n v="3133.99"/>
    <n v="49"/>
    <x v="0"/>
    <n v="2628.38"/>
    <n v="2644.54"/>
    <s v="Returning"/>
    <n v="0.11"/>
    <s v="Cash"/>
    <s v="Online"/>
    <s v="North-Bob"/>
    <n v="791.83999999999287"/>
  </r>
  <r>
    <n v="1027"/>
    <d v="2023-04-16T00:00:00"/>
    <s v="Alice"/>
    <s v="East"/>
    <n v="8241.57"/>
    <n v="7"/>
    <x v="1"/>
    <n v="2371.85"/>
    <n v="2457.29"/>
    <s v="New"/>
    <n v="0.03"/>
    <s v="Cash"/>
    <s v="Retail"/>
    <s v="East-Alice"/>
    <n v="598.08000000000038"/>
  </r>
  <r>
    <n v="1093"/>
    <d v="2023-11-01T00:00:00"/>
    <s v="Charlie"/>
    <s v="North"/>
    <n v="664.09"/>
    <n v="46"/>
    <x v="2"/>
    <n v="401.64"/>
    <n v="757.26"/>
    <s v="New"/>
    <n v="0.21"/>
    <s v="Credit Card"/>
    <s v="Retail"/>
    <s v="North-Charlie"/>
    <n v="16358.52"/>
  </r>
  <r>
    <n v="1032"/>
    <d v="2023-12-26T00:00:00"/>
    <s v="David"/>
    <s v="South"/>
    <n v="4244.21"/>
    <n v="11"/>
    <x v="2"/>
    <n v="4100.62"/>
    <n v="4230"/>
    <s v="New"/>
    <n v="0.28999999999999998"/>
    <s v="Bank Transfer"/>
    <s v="Online"/>
    <s v="South-David"/>
    <n v="1423.1800000000012"/>
  </r>
  <r>
    <n v="1050"/>
    <d v="2023-11-13T00:00:00"/>
    <s v="Alice"/>
    <s v="North"/>
    <n v="4638.47"/>
    <n v="28"/>
    <x v="1"/>
    <n v="1711.63"/>
    <n v="1951.24"/>
    <s v="New"/>
    <n v="0.22"/>
    <s v="Cash"/>
    <s v="Online"/>
    <s v="North-Alice"/>
    <n v="6709.0799999999972"/>
  </r>
  <r>
    <n v="1061"/>
    <d v="2023-05-03T00:00:00"/>
    <s v="Bob"/>
    <s v="South"/>
    <n v="7277.56"/>
    <n v="41"/>
    <x v="0"/>
    <n v="2894.18"/>
    <n v="3193.92"/>
    <s v="New"/>
    <n v="0.28000000000000003"/>
    <s v="Bank Transfer"/>
    <s v="Retail"/>
    <s v="South-Bob"/>
    <n v="12289.340000000009"/>
  </r>
  <r>
    <n v="1051"/>
    <d v="2023-01-09T00:00:00"/>
    <s v="David"/>
    <s v="South"/>
    <n v="5785.45"/>
    <n v="23"/>
    <x v="0"/>
    <n v="2598.1799999999998"/>
    <n v="3042.73"/>
    <s v="Returning"/>
    <n v="0.24"/>
    <s v="Credit Card"/>
    <s v="Online"/>
    <s v="South-David"/>
    <n v="10224.650000000005"/>
  </r>
  <r>
    <n v="1019"/>
    <d v="2023-09-19T00:00:00"/>
    <s v="Charlie"/>
    <s v="West"/>
    <n v="6705.4"/>
    <n v="45"/>
    <x v="2"/>
    <n v="2590.64"/>
    <n v="3036.18"/>
    <s v="New"/>
    <n v="0.05"/>
    <s v="Bank Transfer"/>
    <s v="Retail"/>
    <s v="West-Charlie"/>
    <n v="20049.3"/>
  </r>
  <r>
    <n v="1021"/>
    <d v="2023-03-14T00:00:00"/>
    <s v="David"/>
    <s v="South"/>
    <n v="7792.79"/>
    <n v="23"/>
    <x v="1"/>
    <n v="580.75"/>
    <n v="956.16"/>
    <s v="Returning"/>
    <n v="7.0000000000000007E-2"/>
    <s v="Cash"/>
    <s v="Retail"/>
    <s v="South-David"/>
    <n v="8634.4299999999985"/>
  </r>
  <r>
    <n v="1005"/>
    <d v="2023-12-25T00:00:00"/>
    <s v="Alice"/>
    <s v="South"/>
    <n v="8635.81"/>
    <n v="28"/>
    <x v="0"/>
    <n v="2146.2399999999998"/>
    <n v="2173.4699999999998"/>
    <s v="Returning"/>
    <n v="0.1"/>
    <s v="Cash"/>
    <s v="Retail"/>
    <s v="South-Alice"/>
    <n v="762.44000000000051"/>
  </r>
  <r>
    <n v="1082"/>
    <d v="2023-08-11T00:00:00"/>
    <s v="Charlie"/>
    <s v="North"/>
    <n v="3207.37"/>
    <n v="43"/>
    <x v="0"/>
    <n v="2289.2199999999998"/>
    <n v="2581"/>
    <s v="New"/>
    <n v="0.05"/>
    <s v="Bank Transfer"/>
    <s v="Online"/>
    <s v="North-Charlie"/>
    <n v="12546.540000000008"/>
  </r>
  <r>
    <n v="1092"/>
    <d v="2023-02-10T00:00:00"/>
    <s v="Bob"/>
    <s v="East"/>
    <n v="5426.42"/>
    <n v="47"/>
    <x v="0"/>
    <n v="3681.53"/>
    <n v="4076.96"/>
    <s v="Returning"/>
    <n v="0.17"/>
    <s v="Cash"/>
    <s v="Retail"/>
    <s v="East-Bob"/>
    <n v="18585.209999999992"/>
  </r>
  <r>
    <n v="1042"/>
    <d v="2023-07-23T00:00:00"/>
    <s v="Charlie"/>
    <s v="West"/>
    <n v="8417.07"/>
    <n v="26"/>
    <x v="3"/>
    <n v="4208.09"/>
    <n v="4226.5600000000004"/>
    <s v="Returning"/>
    <n v="0.28999999999999998"/>
    <s v="Cash"/>
    <s v="Retail"/>
    <s v="West-Charlie"/>
    <n v="480.22000000000662"/>
  </r>
  <r>
    <n v="1061"/>
    <d v="2023-09-21T00:00:00"/>
    <s v="Charlie"/>
    <s v="South"/>
    <n v="9895.57"/>
    <n v="25"/>
    <x v="1"/>
    <n v="2747.66"/>
    <n v="3027.01"/>
    <s v="New"/>
    <n v="0.23"/>
    <s v="Cash"/>
    <s v="Online"/>
    <s v="South-Charlie"/>
    <n v="6983.7500000000091"/>
  </r>
  <r>
    <n v="1022"/>
    <d v="2023-11-24T00:00:00"/>
    <s v="Eve"/>
    <s v="West"/>
    <n v="8906.24"/>
    <n v="29"/>
    <x v="0"/>
    <n v="479.58"/>
    <n v="909.88"/>
    <s v="Returning"/>
    <n v="0.13"/>
    <s v="Credit Card"/>
    <s v="Retail"/>
    <s v="West-Eve"/>
    <n v="12478.7"/>
  </r>
  <r>
    <n v="1021"/>
    <d v="2023-06-27T00:00:00"/>
    <s v="Charlie"/>
    <s v="North"/>
    <n v="3777.53"/>
    <n v="19"/>
    <x v="3"/>
    <n v="1222.4000000000001"/>
    <n v="1464.71"/>
    <s v="New"/>
    <n v="0"/>
    <s v="Credit Card"/>
    <s v="Retail"/>
    <s v="North-Charlie"/>
    <n v="4603.8899999999994"/>
  </r>
  <r>
    <n v="1070"/>
    <d v="2023-12-14T00:00:00"/>
    <s v="Charlie"/>
    <s v="South"/>
    <n v="2032.15"/>
    <n v="33"/>
    <x v="1"/>
    <n v="866.42"/>
    <n v="878.43"/>
    <s v="New"/>
    <n v="0.09"/>
    <s v="Cash"/>
    <s v="Retail"/>
    <s v="South-Charlie"/>
    <n v="396.3299999999997"/>
  </r>
  <r>
    <n v="1001"/>
    <d v="2023-11-14T00:00:00"/>
    <s v="David"/>
    <s v="North"/>
    <n v="4944.99"/>
    <n v="36"/>
    <x v="0"/>
    <n v="666.84"/>
    <n v="682.24"/>
    <s v="New"/>
    <n v="0.16"/>
    <s v="Bank Transfer"/>
    <s v="Retail"/>
    <s v="North-David"/>
    <n v="554.39999999999918"/>
  </r>
  <r>
    <n v="1005"/>
    <d v="2023-03-25T00:00:00"/>
    <s v="Bob"/>
    <s v="West"/>
    <n v="7442.25"/>
    <n v="14"/>
    <x v="2"/>
    <n v="1861.2"/>
    <n v="2075.35"/>
    <s v="Returning"/>
    <n v="0.1"/>
    <s v="Credit Card"/>
    <s v="Retail"/>
    <s v="West-Bob"/>
    <n v="2998.0999999999981"/>
  </r>
  <r>
    <n v="1012"/>
    <d v="2023-11-14T00:00:00"/>
    <s v="David"/>
    <s v="North"/>
    <n v="4976.43"/>
    <n v="14"/>
    <x v="3"/>
    <n v="1185.5"/>
    <n v="1271.45"/>
    <s v="Returning"/>
    <n v="0.03"/>
    <s v="Bank Transfer"/>
    <s v="Retail"/>
    <s v="North-David"/>
    <n v="1203.3000000000006"/>
  </r>
  <r>
    <n v="1090"/>
    <d v="2023-04-21T00:00:00"/>
    <s v="David"/>
    <s v="West"/>
    <n v="4883.49"/>
    <n v="35"/>
    <x v="3"/>
    <n v="1130.5999999999999"/>
    <n v="1466.18"/>
    <s v="Returning"/>
    <n v="0.13"/>
    <s v="Cash"/>
    <s v="Online"/>
    <s v="West-David"/>
    <n v="11745.300000000005"/>
  </r>
  <r>
    <n v="1046"/>
    <d v="2023-09-08T00:00:00"/>
    <s v="Alice"/>
    <s v="North"/>
    <n v="8398.48"/>
    <n v="30"/>
    <x v="0"/>
    <n v="320.73"/>
    <n v="678.04"/>
    <s v="Returning"/>
    <n v="0.08"/>
    <s v="Cash"/>
    <s v="Retail"/>
    <s v="North-Alice"/>
    <n v="10719.3"/>
  </r>
  <r>
    <n v="1034"/>
    <d v="2023-01-07T00:00:00"/>
    <s v="David"/>
    <s v="West"/>
    <n v="3677.9"/>
    <n v="28"/>
    <x v="0"/>
    <n v="137.47"/>
    <n v="234.63"/>
    <s v="New"/>
    <n v="0.27"/>
    <s v="Bank Transfer"/>
    <s v="Retail"/>
    <s v="West-David"/>
    <n v="2720.48"/>
  </r>
  <r>
    <n v="1049"/>
    <d v="2023-03-25T00:00:00"/>
    <s v="Eve"/>
    <s v="East"/>
    <n v="8611.9699999999993"/>
    <n v="17"/>
    <x v="3"/>
    <n v="558.70000000000005"/>
    <n v="1004.08"/>
    <s v="Returning"/>
    <n v="0.03"/>
    <s v="Credit Card"/>
    <s v="Online"/>
    <s v="East-Eve"/>
    <n v="7571.46"/>
  </r>
  <r>
    <n v="1078"/>
    <d v="2023-07-27T00:00:00"/>
    <s v="Eve"/>
    <s v="North"/>
    <n v="4127.37"/>
    <n v="3"/>
    <x v="2"/>
    <n v="902.38"/>
    <n v="1128.9100000000001"/>
    <s v="New"/>
    <n v="0.01"/>
    <s v="Bank Transfer"/>
    <s v="Retail"/>
    <s v="North-Eve"/>
    <n v="679.59000000000026"/>
  </r>
  <r>
    <n v="1090"/>
    <d v="2023-11-10T00:00:00"/>
    <s v="Alice"/>
    <s v="North"/>
    <n v="3349.51"/>
    <n v="16"/>
    <x v="2"/>
    <n v="2183.37"/>
    <n v="2263.36"/>
    <s v="Returning"/>
    <n v="0"/>
    <s v="Bank Transfer"/>
    <s v="Retail"/>
    <s v="North-Alice"/>
    <n v="1279.8400000000038"/>
  </r>
  <r>
    <n v="1045"/>
    <d v="2023-01-22T00:00:00"/>
    <s v="Bob"/>
    <s v="East"/>
    <n v="4594.5"/>
    <n v="46"/>
    <x v="1"/>
    <n v="2577.08"/>
    <n v="2961.56"/>
    <s v="Returning"/>
    <n v="0.1"/>
    <s v="Cash"/>
    <s v="Online"/>
    <s v="East-Bob"/>
    <n v="17686.080000000002"/>
  </r>
  <r>
    <n v="1027"/>
    <d v="2023-01-03T00:00:00"/>
    <s v="Bob"/>
    <s v="East"/>
    <n v="7648.22"/>
    <n v="30"/>
    <x v="0"/>
    <n v="745.93"/>
    <n v="1143.02"/>
    <s v="Returning"/>
    <n v="0.2"/>
    <s v="Credit Card"/>
    <s v="Online"/>
    <s v="East-Bob"/>
    <n v="11912.7"/>
  </r>
  <r>
    <n v="1073"/>
    <d v="2023-05-07T00:00:00"/>
    <s v="David"/>
    <s v="North"/>
    <n v="1347.42"/>
    <n v="29"/>
    <x v="2"/>
    <n v="2152.6799999999998"/>
    <n v="2475.9299999999998"/>
    <s v="Returning"/>
    <n v="0.22"/>
    <s v="Bank Transfer"/>
    <s v="Online"/>
    <s v="North-David"/>
    <n v="9374.25"/>
  </r>
  <r>
    <n v="1026"/>
    <d v="2023-10-24T00:00:00"/>
    <s v="David"/>
    <s v="East"/>
    <n v="2044.55"/>
    <n v="45"/>
    <x v="1"/>
    <n v="1741.66"/>
    <n v="2169.86"/>
    <s v="Returning"/>
    <n v="0.14000000000000001"/>
    <s v="Credit Card"/>
    <s v="Online"/>
    <s v="East-David"/>
    <n v="19269.000000000004"/>
  </r>
  <r>
    <n v="1047"/>
    <d v="2023-07-07T00:00:00"/>
    <s v="David"/>
    <s v="South"/>
    <n v="9519.2999999999993"/>
    <n v="15"/>
    <x v="2"/>
    <n v="957.95"/>
    <n v="1329.26"/>
    <s v="New"/>
    <n v="0.21"/>
    <s v="Cash"/>
    <s v="Online"/>
    <s v="South-David"/>
    <n v="5569.65"/>
  </r>
  <r>
    <n v="1086"/>
    <d v="2023-12-28T00:00:00"/>
    <s v="Bob"/>
    <s v="West"/>
    <n v="1837.37"/>
    <n v="46"/>
    <x v="0"/>
    <n v="83.86"/>
    <n v="526.14"/>
    <s v="Returning"/>
    <n v="0.11"/>
    <s v="Credit Card"/>
    <s v="Online"/>
    <s v="West-Bob"/>
    <n v="20344.879999999997"/>
  </r>
  <r>
    <n v="1056"/>
    <d v="2023-01-14T00:00:00"/>
    <s v="Charlie"/>
    <s v="West"/>
    <n v="5720.5"/>
    <n v="25"/>
    <x v="1"/>
    <n v="2361.7399999999998"/>
    <n v="2584.35"/>
    <s v="Returning"/>
    <n v="0.2"/>
    <s v="Cash"/>
    <s v="Online"/>
    <s v="West-Charlie"/>
    <n v="5565.2500000000036"/>
  </r>
  <r>
    <n v="1094"/>
    <d v="2023-01-12T00:00:00"/>
    <s v="Eve"/>
    <s v="West"/>
    <n v="5835.21"/>
    <n v="38"/>
    <x v="1"/>
    <n v="3443.98"/>
    <n v="3820.3"/>
    <s v="Returning"/>
    <n v="0.01"/>
    <s v="Credit Card"/>
    <s v="Retail"/>
    <s v="West-Eve"/>
    <n v="14300.160000000007"/>
  </r>
  <r>
    <n v="1063"/>
    <d v="2023-03-28T00:00:00"/>
    <s v="Charlie"/>
    <s v="South"/>
    <n v="4947.28"/>
    <n v="42"/>
    <x v="1"/>
    <n v="1170.07"/>
    <n v="1669.95"/>
    <s v="Returning"/>
    <n v="0.12"/>
    <s v="Bank Transfer"/>
    <s v="Retail"/>
    <s v="South-Charlie"/>
    <n v="20994.960000000006"/>
  </r>
  <r>
    <n v="1048"/>
    <d v="2023-01-12T00:00:00"/>
    <s v="Charlie"/>
    <s v="East"/>
    <n v="6482.98"/>
    <n v="47"/>
    <x v="2"/>
    <n v="702.44"/>
    <n v="1067.6600000000001"/>
    <s v="New"/>
    <n v="0.24"/>
    <s v="Cash"/>
    <s v="Retail"/>
    <s v="East-Charlie"/>
    <n v="17165.34"/>
  </r>
  <r>
    <n v="1061"/>
    <d v="2023-01-25T00:00:00"/>
    <s v="Bob"/>
    <s v="East"/>
    <n v="2375.2800000000002"/>
    <n v="38"/>
    <x v="0"/>
    <n v="4440.8599999999997"/>
    <n v="4506.8100000000004"/>
    <s v="Returning"/>
    <n v="0.24"/>
    <s v="Bank Transfer"/>
    <s v="Online"/>
    <s v="East-Bob"/>
    <n v="2506.1000000000276"/>
  </r>
  <r>
    <n v="1081"/>
    <d v="2023-10-28T00:00:00"/>
    <s v="Charlie"/>
    <s v="North"/>
    <n v="5571.36"/>
    <n v="23"/>
    <x v="1"/>
    <n v="1411.37"/>
    <n v="1675.35"/>
    <s v="New"/>
    <n v="0.21"/>
    <s v="Cash"/>
    <s v="Retail"/>
    <s v="North-Charlie"/>
    <n v="6071.5400000000009"/>
  </r>
  <r>
    <n v="1026"/>
    <d v="2023-08-31T00:00:00"/>
    <s v="Alice"/>
    <s v="East"/>
    <n v="3784.52"/>
    <n v="25"/>
    <x v="3"/>
    <n v="1156.8800000000001"/>
    <n v="1454.68"/>
    <s v="Returning"/>
    <n v="0.06"/>
    <s v="Credit Card"/>
    <s v="Online"/>
    <s v="East-Alice"/>
    <n v="7444.9999999999991"/>
  </r>
  <r>
    <n v="1036"/>
    <d v="2023-05-02T00:00:00"/>
    <s v="David"/>
    <s v="North"/>
    <n v="6650.51"/>
    <n v="42"/>
    <x v="0"/>
    <n v="4292.63"/>
    <n v="4387.99"/>
    <s v="New"/>
    <n v="7.0000000000000007E-2"/>
    <s v="Credit Card"/>
    <s v="Retail"/>
    <s v="North-David"/>
    <n v="4005.1199999999862"/>
  </r>
  <r>
    <n v="1001"/>
    <d v="2023-05-27T00:00:00"/>
    <s v="Alice"/>
    <s v="South"/>
    <n v="1498.11"/>
    <n v="7"/>
    <x v="3"/>
    <n v="4094.68"/>
    <n v="4576.5"/>
    <s v="New"/>
    <n v="0.3"/>
    <s v="Cash"/>
    <s v="Retail"/>
    <s v="South-Alice"/>
    <n v="3372.7400000000011"/>
  </r>
  <r>
    <n v="1008"/>
    <d v="2023-02-24T00:00:00"/>
    <s v="Eve"/>
    <s v="West"/>
    <n v="5751.69"/>
    <n v="22"/>
    <x v="3"/>
    <n v="2269.3200000000002"/>
    <n v="2365.35"/>
    <s v="New"/>
    <n v="0.03"/>
    <s v="Cash"/>
    <s v="Retail"/>
    <s v="West-Eve"/>
    <n v="2112.6599999999944"/>
  </r>
  <r>
    <n v="1099"/>
    <d v="2023-08-26T00:00:00"/>
    <s v="David"/>
    <s v="West"/>
    <n v="1934.18"/>
    <n v="17"/>
    <x v="1"/>
    <n v="2471.73"/>
    <n v="2568.73"/>
    <s v="New"/>
    <n v="0.05"/>
    <s v="Cash"/>
    <s v="Retail"/>
    <s v="West-David"/>
    <n v="1649"/>
  </r>
  <r>
    <n v="1052"/>
    <d v="2023-12-22T00:00:00"/>
    <s v="Charlie"/>
    <s v="West"/>
    <n v="2858.57"/>
    <n v="18"/>
    <x v="1"/>
    <n v="1127.8599999999999"/>
    <n v="1586.29"/>
    <s v="New"/>
    <n v="0.04"/>
    <s v="Credit Card"/>
    <s v="Online"/>
    <s v="West-Charlie"/>
    <n v="8251.7400000000016"/>
  </r>
  <r>
    <n v="1079"/>
    <d v="2023-06-22T00:00:00"/>
    <s v="Eve"/>
    <s v="East"/>
    <n v="2265.23"/>
    <n v="49"/>
    <x v="2"/>
    <n v="437.59"/>
    <n v="675.54"/>
    <s v="Returning"/>
    <n v="0.1"/>
    <s v="Cash"/>
    <s v="Online"/>
    <s v="East-Eve"/>
    <n v="11659.55"/>
  </r>
  <r>
    <n v="1047"/>
    <d v="2023-08-09T00:00:00"/>
    <s v="David"/>
    <s v="North"/>
    <n v="1910.09"/>
    <n v="41"/>
    <x v="2"/>
    <n v="2888.49"/>
    <n v="2929.45"/>
    <s v="New"/>
    <n v="0.06"/>
    <s v="Cash"/>
    <s v="Retail"/>
    <s v="North-David"/>
    <n v="1679.3600000000015"/>
  </r>
  <r>
    <n v="1056"/>
    <d v="2023-04-29T00:00:00"/>
    <s v="Charlie"/>
    <s v="North"/>
    <n v="8274.5400000000009"/>
    <n v="10"/>
    <x v="2"/>
    <n v="536.80999999999995"/>
    <n v="839.92"/>
    <s v="Returning"/>
    <n v="0.15"/>
    <s v="Bank Transfer"/>
    <s v="Online"/>
    <s v="North-Charlie"/>
    <n v="3031.1000000000004"/>
  </r>
  <r>
    <n v="1086"/>
    <d v="2023-11-05T00:00:00"/>
    <s v="Alice"/>
    <s v="South"/>
    <n v="2928.5"/>
    <n v="10"/>
    <x v="0"/>
    <n v="2273.91"/>
    <n v="2578.8000000000002"/>
    <s v="New"/>
    <n v="0.14000000000000001"/>
    <s v="Cash"/>
    <s v="Online"/>
    <s v="South-Alice"/>
    <n v="3048.9000000000033"/>
  </r>
  <r>
    <n v="1014"/>
    <d v="2023-07-02T00:00:00"/>
    <s v="David"/>
    <s v="East"/>
    <n v="9278.5300000000007"/>
    <n v="7"/>
    <x v="2"/>
    <n v="4705.46"/>
    <n v="4747.07"/>
    <s v="New"/>
    <n v="0.27"/>
    <s v="Bank Transfer"/>
    <s v="Retail"/>
    <s v="East-David"/>
    <n v="291.26999999999771"/>
  </r>
  <r>
    <n v="1090"/>
    <d v="2023-10-15T00:00:00"/>
    <s v="Charlie"/>
    <s v="South"/>
    <n v="9702.27"/>
    <n v="48"/>
    <x v="3"/>
    <n v="4766.53"/>
    <n v="5253.07"/>
    <s v="Returning"/>
    <n v="0.01"/>
    <s v="Bank Transfer"/>
    <s v="Online"/>
    <s v="South-Charlie"/>
    <n v="23353.919999999998"/>
  </r>
  <r>
    <n v="1028"/>
    <d v="2023-11-03T00:00:00"/>
    <s v="Alice"/>
    <s v="North"/>
    <n v="5755.48"/>
    <n v="38"/>
    <x v="2"/>
    <n v="1234.69"/>
    <n v="1511.26"/>
    <s v="New"/>
    <n v="0.1"/>
    <s v="Bank Transfer"/>
    <s v="Online"/>
    <s v="North-Alice"/>
    <n v="10509.659999999998"/>
  </r>
  <r>
    <n v="1087"/>
    <d v="2023-10-27T00:00:00"/>
    <s v="Eve"/>
    <s v="North"/>
    <n v="1515.71"/>
    <n v="27"/>
    <x v="1"/>
    <n v="3139.36"/>
    <n v="3423.66"/>
    <s v="New"/>
    <n v="0.18"/>
    <s v="Credit Card"/>
    <s v="Online"/>
    <s v="North-Eve"/>
    <n v="7676.0999999999931"/>
  </r>
  <r>
    <n v="1078"/>
    <d v="2023-03-23T00:00:00"/>
    <s v="Eve"/>
    <s v="West"/>
    <n v="3808.03"/>
    <n v="33"/>
    <x v="2"/>
    <n v="2396.6799999999998"/>
    <n v="2661.54"/>
    <s v="New"/>
    <n v="0.18"/>
    <s v="Bank Transfer"/>
    <s v="Online"/>
    <s v="West-Eve"/>
    <n v="8740.3800000000047"/>
  </r>
  <r>
    <n v="1088"/>
    <d v="2023-07-30T00:00:00"/>
    <s v="Eve"/>
    <s v="East"/>
    <n v="7997.55"/>
    <n v="1"/>
    <x v="0"/>
    <n v="4384.6400000000003"/>
    <n v="4693.8999999999996"/>
    <s v="New"/>
    <n v="0.14000000000000001"/>
    <s v="Cash"/>
    <s v="Retail"/>
    <s v="East-Eve"/>
    <n v="309.25999999999931"/>
  </r>
  <r>
    <n v="1002"/>
    <d v="2023-05-30T00:00:00"/>
    <s v="Eve"/>
    <s v="North"/>
    <n v="3737.17"/>
    <n v="44"/>
    <x v="0"/>
    <n v="1393.58"/>
    <n v="1533.09"/>
    <s v="Returning"/>
    <n v="0.24"/>
    <s v="Credit Card"/>
    <s v="Retail"/>
    <s v="North-Eve"/>
    <n v="6138.44"/>
  </r>
  <r>
    <n v="1026"/>
    <d v="2023-02-06T00:00:00"/>
    <s v="Bob"/>
    <s v="West"/>
    <n v="961.47"/>
    <n v="34"/>
    <x v="3"/>
    <n v="68.33"/>
    <n v="219.08"/>
    <s v="New"/>
    <n v="0.02"/>
    <s v="Credit Card"/>
    <s v="Online"/>
    <s v="West-Bob"/>
    <n v="5125.5"/>
  </r>
  <r>
    <n v="1014"/>
    <d v="2023-12-18T00:00:00"/>
    <s v="David"/>
    <s v="East"/>
    <n v="5612.17"/>
    <n v="4"/>
    <x v="0"/>
    <n v="854.68"/>
    <n v="1115.24"/>
    <s v="New"/>
    <n v="0.24"/>
    <s v="Credit Card"/>
    <s v="Retail"/>
    <s v="East-David"/>
    <n v="1042.2400000000002"/>
  </r>
  <r>
    <n v="1059"/>
    <d v="2023-11-08T00:00:00"/>
    <s v="David"/>
    <s v="South"/>
    <n v="8466.7000000000007"/>
    <n v="17"/>
    <x v="2"/>
    <n v="1780.14"/>
    <n v="2185.42"/>
    <s v="Returning"/>
    <n v="0.15"/>
    <s v="Credit Card"/>
    <s v="Retail"/>
    <s v="South-David"/>
    <n v="6889.7599999999993"/>
  </r>
  <r>
    <n v="1056"/>
    <d v="2023-12-27T00:00:00"/>
    <s v="Bob"/>
    <s v="East"/>
    <n v="7979.67"/>
    <n v="4"/>
    <x v="1"/>
    <n v="1612.82"/>
    <n v="1647.25"/>
    <s v="Returning"/>
    <n v="0.04"/>
    <s v="Credit Card"/>
    <s v="Retail"/>
    <s v="East-Bob"/>
    <n v="137.72000000000025"/>
  </r>
  <r>
    <n v="1007"/>
    <d v="2023-02-28T00:00:00"/>
    <s v="Charlie"/>
    <s v="East"/>
    <n v="1833.72"/>
    <n v="43"/>
    <x v="0"/>
    <n v="3967.25"/>
    <n v="4272.92"/>
    <s v="New"/>
    <n v="0.27"/>
    <s v="Credit Card"/>
    <s v="Online"/>
    <s v="East-Charlie"/>
    <n v="13143.810000000003"/>
  </r>
  <r>
    <n v="1003"/>
    <d v="2023-05-11T00:00:00"/>
    <s v="Charlie"/>
    <s v="North"/>
    <n v="6760.37"/>
    <n v="26"/>
    <x v="3"/>
    <n v="3418.78"/>
    <n v="3824.1"/>
    <s v="New"/>
    <n v="0.19"/>
    <s v="Credit Card"/>
    <s v="Online"/>
    <s v="North-Charlie"/>
    <n v="10538.319999999992"/>
  </r>
  <r>
    <n v="1023"/>
    <d v="2023-07-21T00:00:00"/>
    <s v="Eve"/>
    <s v="North"/>
    <n v="2282.9899999999998"/>
    <n v="4"/>
    <x v="2"/>
    <n v="1532.8"/>
    <n v="1619.69"/>
    <s v="Returning"/>
    <n v="0.05"/>
    <s v="Bank Transfer"/>
    <s v="Retail"/>
    <s v="North-Eve"/>
    <n v="347.5600000000004"/>
  </r>
  <r>
    <n v="1018"/>
    <d v="2023-08-31T00:00:00"/>
    <s v="Alice"/>
    <s v="East"/>
    <n v="2260.25"/>
    <n v="1"/>
    <x v="3"/>
    <n v="2315.83"/>
    <n v="2333.19"/>
    <s v="New"/>
    <n v="0.01"/>
    <s v="Cash"/>
    <s v="Retail"/>
    <s v="East-Alice"/>
    <n v="17.360000000000127"/>
  </r>
  <r>
    <n v="1038"/>
    <d v="2023-02-04T00:00:00"/>
    <s v="Charlie"/>
    <s v="North"/>
    <n v="8753.31"/>
    <n v="7"/>
    <x v="0"/>
    <n v="523.02"/>
    <n v="686.25"/>
    <s v="Returning"/>
    <n v="0.04"/>
    <s v="Cash"/>
    <s v="Online"/>
    <s v="North-Charlie"/>
    <n v="1142.6100000000001"/>
  </r>
  <r>
    <n v="1099"/>
    <d v="2023-04-03T00:00:00"/>
    <s v="Alice"/>
    <s v="North"/>
    <n v="2571.7199999999998"/>
    <n v="30"/>
    <x v="0"/>
    <n v="4495.82"/>
    <n v="4794.01"/>
    <s v="New"/>
    <n v="0.18"/>
    <s v="Bank Transfer"/>
    <s v="Retail"/>
    <s v="North-Alice"/>
    <n v="8945.7000000000153"/>
  </r>
  <r>
    <n v="1015"/>
    <d v="2023-07-26T00:00:00"/>
    <s v="David"/>
    <s v="North"/>
    <n v="2706.15"/>
    <n v="9"/>
    <x v="3"/>
    <n v="4680.3500000000004"/>
    <n v="4758.1099999999997"/>
    <s v="Returning"/>
    <n v="0.05"/>
    <s v="Bank Transfer"/>
    <s v="Online"/>
    <s v="North-David"/>
    <n v="699.83999999999378"/>
  </r>
  <r>
    <n v="1064"/>
    <d v="2023-12-19T00:00:00"/>
    <s v="Alice"/>
    <s v="West"/>
    <n v="106.47"/>
    <n v="35"/>
    <x v="2"/>
    <n v="4900.03"/>
    <n v="5118.83"/>
    <s v="Returning"/>
    <n v="7.0000000000000007E-2"/>
    <s v="Credit Card"/>
    <s v="Retail"/>
    <s v="West-Alice"/>
    <n v="7658.0000000000064"/>
  </r>
  <r>
    <n v="1089"/>
    <d v="2023-11-28T00:00:00"/>
    <s v="David"/>
    <s v="West"/>
    <n v="8719.6200000000008"/>
    <n v="8"/>
    <x v="0"/>
    <n v="4349.34"/>
    <n v="4629.9799999999996"/>
    <s v="Returning"/>
    <n v="0.01"/>
    <s v="Credit Card"/>
    <s v="Online"/>
    <s v="West-David"/>
    <n v="2245.1199999999953"/>
  </r>
  <r>
    <n v="1028"/>
    <d v="2023-11-01T00:00:00"/>
    <s v="Bob"/>
    <s v="East"/>
    <n v="7946.69"/>
    <n v="24"/>
    <x v="1"/>
    <n v="911.11"/>
    <n v="1214.56"/>
    <s v="New"/>
    <n v="0.22"/>
    <s v="Bank Transfer"/>
    <s v="Online"/>
    <s v="East-Bob"/>
    <n v="7282.7999999999984"/>
  </r>
  <r>
    <n v="1074"/>
    <d v="2023-12-16T00:00:00"/>
    <s v="Bob"/>
    <s v="North"/>
    <n v="6310.56"/>
    <n v="19"/>
    <x v="0"/>
    <n v="278.67"/>
    <n v="423.13"/>
    <s v="New"/>
    <n v="0.24"/>
    <s v="Credit Card"/>
    <s v="Online"/>
    <s v="North-Bob"/>
    <n v="2744.74"/>
  </r>
  <r>
    <n v="1039"/>
    <d v="2023-08-01T00:00:00"/>
    <s v="Eve"/>
    <s v="West"/>
    <n v="7527.63"/>
    <n v="36"/>
    <x v="2"/>
    <n v="2919"/>
    <n v="3125.01"/>
    <s v="New"/>
    <n v="0.24"/>
    <s v="Cash"/>
    <s v="Online"/>
    <s v="West-Eve"/>
    <n v="7416.3600000000079"/>
  </r>
  <r>
    <n v="1057"/>
    <d v="2023-06-08T00:00:00"/>
    <s v="Charlie"/>
    <s v="East"/>
    <n v="1605.28"/>
    <n v="43"/>
    <x v="0"/>
    <n v="4567.3900000000003"/>
    <n v="4958.78"/>
    <s v="New"/>
    <n v="0.04"/>
    <s v="Cash"/>
    <s v="Retail"/>
    <s v="East-Charlie"/>
    <n v="16829.769999999975"/>
  </r>
  <r>
    <n v="1017"/>
    <d v="2023-01-24T00:00:00"/>
    <s v="Eve"/>
    <s v="North"/>
    <n v="4637.3999999999996"/>
    <n v="27"/>
    <x v="3"/>
    <n v="927.89"/>
    <n v="1399.09"/>
    <s v="Returning"/>
    <n v="0.27"/>
    <s v="Credit Card"/>
    <s v="Online"/>
    <s v="North-Eve"/>
    <n v="12722.399999999998"/>
  </r>
  <r>
    <n v="1086"/>
    <d v="2023-10-20T00:00:00"/>
    <s v="David"/>
    <s v="South"/>
    <n v="3577.07"/>
    <n v="32"/>
    <x v="0"/>
    <n v="84.86"/>
    <n v="517.17999999999995"/>
    <s v="Returning"/>
    <n v="0.2"/>
    <s v="Credit Card"/>
    <s v="Retail"/>
    <s v="South-David"/>
    <n v="13834.239999999998"/>
  </r>
  <r>
    <n v="1090"/>
    <d v="2023-01-04T00:00:00"/>
    <s v="Eve"/>
    <s v="North"/>
    <n v="1028.3900000000001"/>
    <n v="14"/>
    <x v="0"/>
    <n v="4037.21"/>
    <n v="4323.71"/>
    <s v="Returning"/>
    <n v="0.27"/>
    <s v="Credit Card"/>
    <s v="Online"/>
    <s v="North-Eve"/>
    <n v="4011"/>
  </r>
  <r>
    <n v="1044"/>
    <d v="2023-08-08T00:00:00"/>
    <s v="Alice"/>
    <s v="North"/>
    <n v="4912.6899999999996"/>
    <n v="18"/>
    <x v="2"/>
    <n v="430.14"/>
    <n v="641.17999999999995"/>
    <s v="New"/>
    <n v="0.13"/>
    <s v="Cash"/>
    <s v="Online"/>
    <s v="North-Alice"/>
    <n v="3798.7199999999993"/>
  </r>
  <r>
    <n v="1025"/>
    <d v="2023-12-30T00:00:00"/>
    <s v="David"/>
    <s v="West"/>
    <n v="9215.32"/>
    <n v="28"/>
    <x v="3"/>
    <n v="2097.84"/>
    <n v="2270.9899999999998"/>
    <s v="New"/>
    <n v="0.13"/>
    <s v="Credit Card"/>
    <s v="Retail"/>
    <s v="West-David"/>
    <n v="4848.1999999999898"/>
  </r>
  <r>
    <n v="1017"/>
    <d v="2023-01-20T00:00:00"/>
    <s v="Bob"/>
    <s v="East"/>
    <n v="496.59"/>
    <n v="29"/>
    <x v="2"/>
    <n v="3410.49"/>
    <n v="3481.72"/>
    <s v="New"/>
    <n v="0.24"/>
    <s v="Bank Transfer"/>
    <s v="Retail"/>
    <s v="East-Bob"/>
    <n v="2065.6700000000005"/>
  </r>
  <r>
    <n v="1013"/>
    <d v="2023-06-01T00:00:00"/>
    <s v="Charlie"/>
    <s v="East"/>
    <n v="2985.46"/>
    <n v="16"/>
    <x v="0"/>
    <n v="1222.1500000000001"/>
    <n v="1284.3599999999999"/>
    <s v="Returning"/>
    <n v="0.03"/>
    <s v="Credit Card"/>
    <s v="Retail"/>
    <s v="East-Charlie"/>
    <n v="995.35999999999694"/>
  </r>
  <r>
    <n v="1084"/>
    <d v="2023-02-19T00:00:00"/>
    <s v="David"/>
    <s v="West"/>
    <n v="2154.66"/>
    <n v="35"/>
    <x v="1"/>
    <n v="465.61"/>
    <n v="812.91"/>
    <s v="New"/>
    <n v="0.16"/>
    <s v="Bank Transfer"/>
    <s v="Online"/>
    <s v="West-David"/>
    <n v="12155.499999999998"/>
  </r>
  <r>
    <n v="1025"/>
    <d v="2023-06-26T00:00:00"/>
    <s v="David"/>
    <s v="North"/>
    <n v="2457.65"/>
    <n v="47"/>
    <x v="0"/>
    <n v="3861.61"/>
    <n v="3998.91"/>
    <s v="New"/>
    <n v="0.25"/>
    <s v="Credit Card"/>
    <s v="Online"/>
    <s v="North-David"/>
    <n v="6453.0999999999876"/>
  </r>
  <r>
    <n v="1068"/>
    <d v="2023-04-06T00:00:00"/>
    <s v="Alice"/>
    <s v="South"/>
    <n v="9093.5"/>
    <n v="31"/>
    <x v="2"/>
    <n v="3169.37"/>
    <n v="3304.15"/>
    <s v="Returning"/>
    <n v="0.25"/>
    <s v="Credit Card"/>
    <s v="Retail"/>
    <s v="South-Alice"/>
    <n v="4178.1800000000057"/>
  </r>
  <r>
    <n v="1010"/>
    <d v="2023-04-15T00:00:00"/>
    <s v="Charlie"/>
    <s v="North"/>
    <n v="4733.88"/>
    <n v="4"/>
    <x v="1"/>
    <n v="4943.03"/>
    <n v="5442.15"/>
    <s v="Returning"/>
    <n v="0.28999999999999998"/>
    <s v="Cash"/>
    <s v="Online"/>
    <s v="North-Charlie"/>
    <n v="1996.4799999999996"/>
  </r>
  <r>
    <n v="1067"/>
    <d v="2023-09-07T00:00:00"/>
    <s v="Bob"/>
    <s v="North"/>
    <n v="4716.3599999999997"/>
    <n v="37"/>
    <x v="2"/>
    <n v="1754.32"/>
    <n v="1856.4"/>
    <s v="New"/>
    <n v="0.21"/>
    <s v="Bank Transfer"/>
    <s v="Retail"/>
    <s v="North-Bob"/>
    <n v="3776.9600000000055"/>
  </r>
  <r>
    <n v="1018"/>
    <d v="2023-04-27T00:00:00"/>
    <s v="David"/>
    <s v="South"/>
    <n v="7629.7"/>
    <n v="17"/>
    <x v="2"/>
    <n v="355.72"/>
    <n v="438.27"/>
    <s v="Returning"/>
    <n v="0.06"/>
    <s v="Bank Transfer"/>
    <s v="Online"/>
    <s v="South-David"/>
    <n v="1403.3499999999992"/>
  </r>
  <r>
    <n v="1100"/>
    <d v="2023-12-20T00:00:00"/>
    <s v="David"/>
    <s v="West"/>
    <n v="1629.47"/>
    <n v="39"/>
    <x v="3"/>
    <n v="3685.03"/>
    <n v="3743.39"/>
    <s v="New"/>
    <n v="0.01"/>
    <s v="Bank Transfer"/>
    <s v="Online"/>
    <s v="West-David"/>
    <n v="2276.0399999999872"/>
  </r>
  <r>
    <n v="1086"/>
    <d v="2023-08-16T00:00:00"/>
    <s v="Alice"/>
    <s v="East"/>
    <n v="4923.93"/>
    <n v="48"/>
    <x v="1"/>
    <n v="2632.58"/>
    <n v="2926.68"/>
    <s v="Returning"/>
    <n v="0.14000000000000001"/>
    <s v="Cash"/>
    <s v="Online"/>
    <s v="East-Alice"/>
    <n v="14116.7999999999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n v="1052"/>
    <d v="2023-02-03T00:00:00"/>
    <x v="0"/>
    <x v="0"/>
    <n v="5053.97"/>
    <n v="18"/>
    <x v="0"/>
    <n v="152.75"/>
    <n v="267.22000000000003"/>
    <s v="Returning"/>
    <n v="0.09"/>
    <s v="Cash"/>
    <s v="Online"/>
    <s v="North-Bob"/>
  </r>
  <r>
    <n v="1093"/>
    <d v="2023-04-21T00:00:00"/>
    <x v="0"/>
    <x v="1"/>
    <n v="4384.0200000000004"/>
    <n v="17"/>
    <x v="0"/>
    <n v="3816.39"/>
    <n v="4209.4399999999996"/>
    <s v="Returning"/>
    <n v="0.11"/>
    <s v="Cash"/>
    <s v="Retail"/>
    <s v="West-Bob"/>
  </r>
  <r>
    <n v="1015"/>
    <d v="2023-09-21T00:00:00"/>
    <x v="1"/>
    <x v="2"/>
    <n v="4631.2299999999996"/>
    <n v="30"/>
    <x v="1"/>
    <n v="261.56"/>
    <n v="371.4"/>
    <s v="Returning"/>
    <n v="0.2"/>
    <s v="Bank Transfer"/>
    <s v="Retail"/>
    <s v="South-David"/>
  </r>
  <r>
    <n v="1072"/>
    <d v="2023-08-24T00:00:00"/>
    <x v="0"/>
    <x v="2"/>
    <n v="2167.94"/>
    <n v="39"/>
    <x v="2"/>
    <n v="4330.03"/>
    <n v="4467.75"/>
    <s v="New"/>
    <n v="0.02"/>
    <s v="Credit Card"/>
    <s v="Retail"/>
    <s v="South-Bob"/>
  </r>
  <r>
    <n v="1061"/>
    <d v="2023-03-24T00:00:00"/>
    <x v="2"/>
    <x v="3"/>
    <n v="3750.2"/>
    <n v="13"/>
    <x v="3"/>
    <n v="637.37"/>
    <n v="692.71"/>
    <s v="New"/>
    <n v="0.08"/>
    <s v="Credit Card"/>
    <s v="Online"/>
    <s v="East-Charlie"/>
  </r>
  <r>
    <n v="1021"/>
    <d v="2023-02-11T00:00:00"/>
    <x v="2"/>
    <x v="1"/>
    <n v="3761.15"/>
    <n v="32"/>
    <x v="1"/>
    <n v="900.79"/>
    <n v="1106.51"/>
    <s v="New"/>
    <n v="0.21"/>
    <s v="Cash"/>
    <s v="Online"/>
    <s v="West-Charlie"/>
  </r>
  <r>
    <n v="1083"/>
    <d v="2023-04-11T00:00:00"/>
    <x v="0"/>
    <x v="1"/>
    <n v="618.30999999999995"/>
    <n v="29"/>
    <x v="0"/>
    <n v="2408.81"/>
    <n v="2624.09"/>
    <s v="Returning"/>
    <n v="0.14000000000000001"/>
    <s v="Cash"/>
    <s v="Online"/>
    <s v="West-Bob"/>
  </r>
  <r>
    <n v="1087"/>
    <d v="2023-01-06T00:00:00"/>
    <x v="3"/>
    <x v="2"/>
    <n v="7698.92"/>
    <n v="46"/>
    <x v="0"/>
    <n v="3702.51"/>
    <n v="3964.65"/>
    <s v="New"/>
    <n v="0.12"/>
    <s v="Bank Transfer"/>
    <s v="Online"/>
    <s v="South-Eve"/>
  </r>
  <r>
    <n v="1075"/>
    <d v="2023-06-29T00:00:00"/>
    <x v="1"/>
    <x v="2"/>
    <n v="4223.3900000000003"/>
    <n v="30"/>
    <x v="0"/>
    <n v="738.06"/>
    <n v="1095.45"/>
    <s v="New"/>
    <n v="0.05"/>
    <s v="Bank Transfer"/>
    <s v="Online"/>
    <s v="South-David"/>
  </r>
  <r>
    <n v="1075"/>
    <d v="2023-10-09T00:00:00"/>
    <x v="2"/>
    <x v="1"/>
    <n v="8239.58"/>
    <n v="18"/>
    <x v="2"/>
    <n v="2228.35"/>
    <n v="2682.34"/>
    <s v="New"/>
    <n v="0.13"/>
    <s v="Bank Transfer"/>
    <s v="Online"/>
    <s v="West-Charlie"/>
  </r>
  <r>
    <n v="1088"/>
    <d v="2023-11-16T00:00:00"/>
    <x v="3"/>
    <x v="0"/>
    <n v="8518.4500000000007"/>
    <n v="13"/>
    <x v="0"/>
    <n v="2440.11"/>
    <n v="2517.6"/>
    <s v="New"/>
    <n v="0.23"/>
    <s v="Bank Transfer"/>
    <s v="Retail"/>
    <s v="North-Eve"/>
  </r>
  <r>
    <n v="1100"/>
    <d v="2023-08-14T00:00:00"/>
    <x v="0"/>
    <x v="1"/>
    <n v="2198.7399999999998"/>
    <n v="43"/>
    <x v="1"/>
    <n v="1100.81"/>
    <n v="1137.44"/>
    <s v="Returning"/>
    <n v="0.08"/>
    <s v="Bank Transfer"/>
    <s v="Online"/>
    <s v="West-Bob"/>
  </r>
  <r>
    <n v="1024"/>
    <d v="2023-11-11T00:00:00"/>
    <x v="3"/>
    <x v="1"/>
    <n v="6607.8"/>
    <n v="21"/>
    <x v="1"/>
    <n v="622.01"/>
    <n v="641.09"/>
    <s v="Returning"/>
    <n v="0"/>
    <s v="Bank Transfer"/>
    <s v="Retail"/>
    <s v="West-Eve"/>
  </r>
  <r>
    <n v="1003"/>
    <d v="2023-12-31T00:00:00"/>
    <x v="4"/>
    <x v="2"/>
    <n v="4775.59"/>
    <n v="30"/>
    <x v="0"/>
    <n v="4190.28"/>
    <n v="4270.6499999999996"/>
    <s v="New"/>
    <n v="0.2"/>
    <s v="Cash"/>
    <s v="Online"/>
    <s v="South-Alice"/>
  </r>
  <r>
    <n v="1022"/>
    <d v="2023-08-17T00:00:00"/>
    <x v="2"/>
    <x v="2"/>
    <n v="8813.5499999999993"/>
    <n v="21"/>
    <x v="1"/>
    <n v="2537.1999999999998"/>
    <n v="2869.6"/>
    <s v="New"/>
    <n v="0.28999999999999998"/>
    <s v="Bank Transfer"/>
    <s v="Retail"/>
    <s v="South-Charlie"/>
  </r>
  <r>
    <n v="1053"/>
    <d v="2023-10-16T00:00:00"/>
    <x v="0"/>
    <x v="0"/>
    <n v="2235.83"/>
    <n v="48"/>
    <x v="0"/>
    <n v="121.19"/>
    <n v="487.65"/>
    <s v="New"/>
    <n v="0.18"/>
    <s v="Cash"/>
    <s v="Retail"/>
    <s v="North-Bob"/>
  </r>
  <r>
    <n v="1002"/>
    <d v="2023-05-30T00:00:00"/>
    <x v="1"/>
    <x v="0"/>
    <n v="6810.35"/>
    <n v="17"/>
    <x v="0"/>
    <n v="4024.76"/>
    <n v="4420.1499999999996"/>
    <s v="Returning"/>
    <n v="0.04"/>
    <s v="Cash"/>
    <s v="Online"/>
    <s v="North-David"/>
  </r>
  <r>
    <n v="1088"/>
    <d v="2023-10-04T00:00:00"/>
    <x v="0"/>
    <x v="3"/>
    <n v="6116.75"/>
    <n v="40"/>
    <x v="3"/>
    <n v="4904.93"/>
    <n v="5034.3500000000004"/>
    <s v="New"/>
    <n v="0.1"/>
    <s v="Credit Card"/>
    <s v="Retail"/>
    <s v="East-Bob"/>
  </r>
  <r>
    <n v="1030"/>
    <d v="2023-07-17T00:00:00"/>
    <x v="1"/>
    <x v="1"/>
    <n v="3023.48"/>
    <n v="19"/>
    <x v="2"/>
    <n v="3049.33"/>
    <n v="3209.22"/>
    <s v="Returning"/>
    <n v="0.26"/>
    <s v="Cash"/>
    <s v="Online"/>
    <s v="West-David"/>
  </r>
  <r>
    <n v="1038"/>
    <d v="2023-03-11T00:00:00"/>
    <x v="0"/>
    <x v="2"/>
    <n v="1452.35"/>
    <n v="15"/>
    <x v="2"/>
    <n v="2543.36"/>
    <n v="2790.1"/>
    <s v="Returning"/>
    <n v="7.0000000000000007E-2"/>
    <s v="Cash"/>
    <s v="Online"/>
    <s v="South-Bob"/>
  </r>
  <r>
    <n v="1002"/>
    <d v="2023-04-22T00:00:00"/>
    <x v="3"/>
    <x v="0"/>
    <n v="6551.23"/>
    <n v="9"/>
    <x v="3"/>
    <n v="4398.16"/>
    <n v="4439.12"/>
    <s v="New"/>
    <n v="0.18"/>
    <s v="Bank Transfer"/>
    <s v="Online"/>
    <s v="North-Eve"/>
  </r>
  <r>
    <n v="1064"/>
    <d v="2023-01-04T00:00:00"/>
    <x v="3"/>
    <x v="3"/>
    <n v="7412.11"/>
    <n v="10"/>
    <x v="3"/>
    <n v="4764.96"/>
    <n v="5074.42"/>
    <s v="New"/>
    <n v="0.12"/>
    <s v="Cash"/>
    <s v="Online"/>
    <s v="East-Eve"/>
  </r>
  <r>
    <n v="1060"/>
    <d v="2023-12-16T00:00:00"/>
    <x v="3"/>
    <x v="3"/>
    <n v="3224.71"/>
    <n v="44"/>
    <x v="2"/>
    <n v="3784.96"/>
    <n v="4276.99"/>
    <s v="New"/>
    <n v="0.06"/>
    <s v="Bank Transfer"/>
    <s v="Retail"/>
    <s v="East-Eve"/>
  </r>
  <r>
    <n v="1021"/>
    <d v="2023-11-27T00:00:00"/>
    <x v="4"/>
    <x v="2"/>
    <n v="6483.84"/>
    <n v="31"/>
    <x v="0"/>
    <n v="2254.9899999999998"/>
    <n v="2441.79"/>
    <s v="Returning"/>
    <n v="0.24"/>
    <s v="Bank Transfer"/>
    <s v="Online"/>
    <s v="South-Alice"/>
  </r>
  <r>
    <n v="1033"/>
    <d v="2023-11-14T00:00:00"/>
    <x v="1"/>
    <x v="2"/>
    <n v="4011.8"/>
    <n v="23"/>
    <x v="0"/>
    <n v="2981.5"/>
    <n v="3360.4"/>
    <s v="Returning"/>
    <n v="0.22"/>
    <s v="Bank Transfer"/>
    <s v="Retail"/>
    <s v="South-David"/>
  </r>
  <r>
    <n v="1076"/>
    <d v="2023-12-16T00:00:00"/>
    <x v="3"/>
    <x v="3"/>
    <n v="7160.75"/>
    <n v="30"/>
    <x v="2"/>
    <n v="3519.63"/>
    <n v="3774.65"/>
    <s v="New"/>
    <n v="0.2"/>
    <s v="Credit Card"/>
    <s v="Retail"/>
    <s v="East-Eve"/>
  </r>
  <r>
    <n v="1058"/>
    <d v="2023-04-05T00:00:00"/>
    <x v="4"/>
    <x v="0"/>
    <n v="2072.23"/>
    <n v="33"/>
    <x v="0"/>
    <n v="1011.65"/>
    <n v="1084.28"/>
    <s v="Returning"/>
    <n v="7.0000000000000007E-2"/>
    <s v="Bank Transfer"/>
    <s v="Retail"/>
    <s v="North-Alice"/>
  </r>
  <r>
    <n v="1022"/>
    <d v="2023-06-01T00:00:00"/>
    <x v="1"/>
    <x v="3"/>
    <n v="8913.1299999999992"/>
    <n v="9"/>
    <x v="3"/>
    <n v="2263.65"/>
    <n v="2558.9499999999998"/>
    <s v="New"/>
    <n v="0.03"/>
    <s v="Cash"/>
    <s v="Online"/>
    <s v="East-David"/>
  </r>
  <r>
    <n v="1089"/>
    <d v="2023-11-07T00:00:00"/>
    <x v="0"/>
    <x v="1"/>
    <n v="2945.36"/>
    <n v="47"/>
    <x v="0"/>
    <n v="4157.62"/>
    <n v="4314.5600000000004"/>
    <s v="New"/>
    <n v="0.17"/>
    <s v="Bank Transfer"/>
    <s v="Retail"/>
    <s v="West-Bob"/>
  </r>
  <r>
    <n v="1049"/>
    <d v="2023-05-17T00:00:00"/>
    <x v="4"/>
    <x v="1"/>
    <n v="3741.08"/>
    <n v="1"/>
    <x v="0"/>
    <n v="3290.89"/>
    <n v="3317.75"/>
    <s v="Returning"/>
    <n v="0.17"/>
    <s v="Bank Transfer"/>
    <s v="Online"/>
    <s v="West-Alice"/>
  </r>
  <r>
    <n v="1091"/>
    <d v="2023-09-04T00:00:00"/>
    <x v="2"/>
    <x v="2"/>
    <n v="675.11"/>
    <n v="44"/>
    <x v="1"/>
    <n v="2085.46"/>
    <n v="2406.58"/>
    <s v="Returning"/>
    <n v="0.06"/>
    <s v="Bank Transfer"/>
    <s v="Retail"/>
    <s v="South-Charlie"/>
  </r>
  <r>
    <n v="1059"/>
    <d v="2023-08-31T00:00:00"/>
    <x v="4"/>
    <x v="0"/>
    <n v="1203.97"/>
    <n v="35"/>
    <x v="1"/>
    <n v="3333.64"/>
    <n v="3764.52"/>
    <s v="Returning"/>
    <n v="0.02"/>
    <s v="Credit Card"/>
    <s v="Online"/>
    <s v="North-Alice"/>
  </r>
  <r>
    <n v="1042"/>
    <d v="2023-01-31T00:00:00"/>
    <x v="4"/>
    <x v="0"/>
    <n v="5207.03"/>
    <n v="11"/>
    <x v="1"/>
    <n v="635.20000000000005"/>
    <n v="814.14"/>
    <s v="Returning"/>
    <n v="0.02"/>
    <s v="Cash"/>
    <s v="Online"/>
    <s v="North-Alice"/>
  </r>
  <r>
    <n v="1092"/>
    <d v="2023-02-09T00:00:00"/>
    <x v="1"/>
    <x v="1"/>
    <n v="2749.17"/>
    <n v="34"/>
    <x v="0"/>
    <n v="2037.41"/>
    <n v="2238.65"/>
    <s v="New"/>
    <n v="0.3"/>
    <s v="Credit Card"/>
    <s v="Online"/>
    <s v="West-David"/>
  </r>
  <r>
    <n v="1060"/>
    <d v="2023-08-17T00:00:00"/>
    <x v="0"/>
    <x v="3"/>
    <n v="8371.25"/>
    <n v="16"/>
    <x v="2"/>
    <n v="3975.99"/>
    <n v="4422.59"/>
    <s v="New"/>
    <n v="0.24"/>
    <s v="Cash"/>
    <s v="Online"/>
    <s v="East-Bob"/>
  </r>
  <r>
    <n v="1080"/>
    <d v="2023-02-05T00:00:00"/>
    <x v="2"/>
    <x v="2"/>
    <n v="245.46"/>
    <n v="9"/>
    <x v="3"/>
    <n v="1141.52"/>
    <n v="1550.19"/>
    <s v="New"/>
    <n v="0.28000000000000003"/>
    <s v="Credit Card"/>
    <s v="Retail"/>
    <s v="South-Charlie"/>
  </r>
  <r>
    <n v="1015"/>
    <d v="2023-08-11T00:00:00"/>
    <x v="3"/>
    <x v="3"/>
    <n v="3853.03"/>
    <n v="32"/>
    <x v="0"/>
    <n v="970.51"/>
    <n v="1330.84"/>
    <s v="Returning"/>
    <n v="0.06"/>
    <s v="Cash"/>
    <s v="Retail"/>
    <s v="East-Eve"/>
  </r>
  <r>
    <n v="1062"/>
    <d v="2023-01-06T00:00:00"/>
    <x v="3"/>
    <x v="3"/>
    <n v="3439.72"/>
    <n v="15"/>
    <x v="2"/>
    <n v="4756.55"/>
    <n v="4888.46"/>
    <s v="New"/>
    <n v="0.28999999999999998"/>
    <s v="Credit Card"/>
    <s v="Online"/>
    <s v="East-Eve"/>
  </r>
  <r>
    <n v="1062"/>
    <d v="2023-11-18T00:00:00"/>
    <x v="4"/>
    <x v="3"/>
    <n v="291.33999999999997"/>
    <n v="12"/>
    <x v="0"/>
    <n v="1088.99"/>
    <n v="1545"/>
    <s v="Returning"/>
    <n v="0.04"/>
    <s v="Bank Transfer"/>
    <s v="Retail"/>
    <s v="East-Alice"/>
  </r>
  <r>
    <n v="1047"/>
    <d v="2023-08-08T00:00:00"/>
    <x v="1"/>
    <x v="0"/>
    <n v="1331.25"/>
    <n v="33"/>
    <x v="3"/>
    <n v="1341.55"/>
    <n v="1427.21"/>
    <s v="Returning"/>
    <n v="0.15"/>
    <s v="Credit Card"/>
    <s v="Online"/>
    <s v="North-David"/>
  </r>
  <r>
    <n v="1062"/>
    <d v="2023-03-16T00:00:00"/>
    <x v="1"/>
    <x v="1"/>
    <n v="4195.0600000000004"/>
    <n v="45"/>
    <x v="0"/>
    <n v="4849.6000000000004"/>
    <n v="5166.72"/>
    <s v="Returning"/>
    <n v="0.25"/>
    <s v="Credit Card"/>
    <s v="Online"/>
    <s v="West-David"/>
  </r>
  <r>
    <n v="1051"/>
    <d v="2023-01-04T00:00:00"/>
    <x v="3"/>
    <x v="0"/>
    <n v="4979.3599999999997"/>
    <n v="14"/>
    <x v="3"/>
    <n v="3686.81"/>
    <n v="3710.92"/>
    <s v="New"/>
    <n v="0.1"/>
    <s v="Bank Transfer"/>
    <s v="Retail"/>
    <s v="North-Eve"/>
  </r>
  <r>
    <n v="1055"/>
    <d v="2023-12-01T00:00:00"/>
    <x v="2"/>
    <x v="1"/>
    <n v="4102.47"/>
    <n v="8"/>
    <x v="0"/>
    <n v="3513"/>
    <n v="3838.42"/>
    <s v="Returning"/>
    <n v="0.13"/>
    <s v="Bank Transfer"/>
    <s v="Online"/>
    <s v="West-Charlie"/>
  </r>
  <r>
    <n v="1064"/>
    <d v="2023-05-14T00:00:00"/>
    <x v="0"/>
    <x v="2"/>
    <n v="5356.28"/>
    <n v="8"/>
    <x v="3"/>
    <n v="4271.99"/>
    <n v="4417.79"/>
    <s v="Returning"/>
    <n v="0.04"/>
    <s v="Cash"/>
    <s v="Online"/>
    <s v="South-Bob"/>
  </r>
  <r>
    <n v="1003"/>
    <d v="2023-04-28T00:00:00"/>
    <x v="2"/>
    <x v="2"/>
    <n v="5991.8"/>
    <n v="27"/>
    <x v="0"/>
    <n v="623.32000000000005"/>
    <n v="853.66"/>
    <s v="Returning"/>
    <n v="0.04"/>
    <s v="Cash"/>
    <s v="Online"/>
    <s v="South-Charlie"/>
  </r>
  <r>
    <n v="1051"/>
    <d v="2023-04-04T00:00:00"/>
    <x v="0"/>
    <x v="3"/>
    <n v="198.25"/>
    <n v="12"/>
    <x v="3"/>
    <n v="3544.48"/>
    <n v="3723.66"/>
    <s v="Returning"/>
    <n v="0.19"/>
    <s v="Cash"/>
    <s v="Online"/>
    <s v="East-Bob"/>
  </r>
  <r>
    <n v="1007"/>
    <d v="2023-03-03T00:00:00"/>
    <x v="3"/>
    <x v="1"/>
    <n v="4694.54"/>
    <n v="1"/>
    <x v="1"/>
    <n v="2543.2600000000002"/>
    <n v="2637.91"/>
    <s v="Returning"/>
    <n v="0.2"/>
    <s v="Credit Card"/>
    <s v="Online"/>
    <s v="West-Eve"/>
  </r>
  <r>
    <n v="1021"/>
    <d v="2023-07-13T00:00:00"/>
    <x v="0"/>
    <x v="1"/>
    <n v="9638.64"/>
    <n v="43"/>
    <x v="0"/>
    <n v="4154.3"/>
    <n v="4469.07"/>
    <s v="Returning"/>
    <n v="0.23"/>
    <s v="Cash"/>
    <s v="Retail"/>
    <s v="West-Bob"/>
  </r>
  <r>
    <n v="1073"/>
    <d v="2023-12-01T00:00:00"/>
    <x v="1"/>
    <x v="1"/>
    <n v="5238.42"/>
    <n v="40"/>
    <x v="0"/>
    <n v="2565.3000000000002"/>
    <n v="3007.47"/>
    <s v="Returning"/>
    <n v="0.17"/>
    <s v="Credit Card"/>
    <s v="Retail"/>
    <s v="West-David"/>
  </r>
  <r>
    <n v="1039"/>
    <d v="2023-07-22T00:00:00"/>
    <x v="4"/>
    <x v="3"/>
    <n v="6807.67"/>
    <n v="42"/>
    <x v="2"/>
    <n v="3120.19"/>
    <n v="3600.14"/>
    <s v="Returning"/>
    <n v="0.19"/>
    <s v="Credit Card"/>
    <s v="Retail"/>
    <s v="East-Alice"/>
  </r>
  <r>
    <n v="1018"/>
    <d v="2023-01-26T00:00:00"/>
    <x v="4"/>
    <x v="3"/>
    <n v="3187.45"/>
    <n v="11"/>
    <x v="2"/>
    <n v="2414.8200000000002"/>
    <n v="2519.0700000000002"/>
    <s v="Returning"/>
    <n v="0"/>
    <s v="Cash"/>
    <s v="Online"/>
    <s v="East-Alice"/>
  </r>
  <r>
    <n v="1004"/>
    <d v="2023-06-22T00:00:00"/>
    <x v="3"/>
    <x v="2"/>
    <n v="7762.51"/>
    <n v="39"/>
    <x v="3"/>
    <n v="2416.89"/>
    <n v="2778.4"/>
    <s v="Returning"/>
    <n v="0.05"/>
    <s v="Cash"/>
    <s v="Online"/>
    <s v="South-Eve"/>
  </r>
  <r>
    <n v="1089"/>
    <d v="2023-10-27T00:00:00"/>
    <x v="1"/>
    <x v="0"/>
    <n v="7751.92"/>
    <n v="43"/>
    <x v="0"/>
    <n v="3851.45"/>
    <n v="4186.9799999999996"/>
    <s v="Returning"/>
    <n v="0.3"/>
    <s v="Credit Card"/>
    <s v="Online"/>
    <s v="North-David"/>
  </r>
  <r>
    <n v="1060"/>
    <d v="2023-05-13T00:00:00"/>
    <x v="2"/>
    <x v="1"/>
    <n v="5260.83"/>
    <n v="31"/>
    <x v="3"/>
    <n v="3161.4"/>
    <n v="3339.66"/>
    <s v="Returning"/>
    <n v="0.02"/>
    <s v="Bank Transfer"/>
    <s v="Online"/>
    <s v="West-Charlie"/>
  </r>
  <r>
    <n v="1014"/>
    <d v="2023-11-22T00:00:00"/>
    <x v="1"/>
    <x v="1"/>
    <n v="9762.5400000000009"/>
    <n v="17"/>
    <x v="1"/>
    <n v="3184.65"/>
    <n v="3204.01"/>
    <s v="New"/>
    <n v="0.2"/>
    <s v="Bank Transfer"/>
    <s v="Online"/>
    <s v="West-David"/>
  </r>
  <r>
    <n v="1009"/>
    <d v="2023-04-28T00:00:00"/>
    <x v="4"/>
    <x v="0"/>
    <n v="1342.95"/>
    <n v="33"/>
    <x v="2"/>
    <n v="2278.9"/>
    <n v="2626.9"/>
    <s v="New"/>
    <n v="0.05"/>
    <s v="Credit Card"/>
    <s v="Online"/>
    <s v="North-Alice"/>
  </r>
  <r>
    <n v="1090"/>
    <d v="2023-11-20T00:00:00"/>
    <x v="4"/>
    <x v="1"/>
    <n v="267.77999999999997"/>
    <n v="32"/>
    <x v="3"/>
    <n v="2678.99"/>
    <n v="3152.28"/>
    <s v="Returning"/>
    <n v="0.22"/>
    <s v="Cash"/>
    <s v="Retail"/>
    <s v="West-Alice"/>
  </r>
  <r>
    <n v="1053"/>
    <d v="2023-10-02T00:00:00"/>
    <x v="1"/>
    <x v="3"/>
    <n v="7724.57"/>
    <n v="29"/>
    <x v="3"/>
    <n v="3741.3"/>
    <n v="4061.04"/>
    <s v="Returning"/>
    <n v="0.21"/>
    <s v="Credit Card"/>
    <s v="Online"/>
    <s v="East-David"/>
  </r>
  <r>
    <n v="1002"/>
    <d v="2023-07-31T00:00:00"/>
    <x v="1"/>
    <x v="3"/>
    <n v="8090.84"/>
    <n v="21"/>
    <x v="2"/>
    <n v="4138.41"/>
    <n v="4361.7"/>
    <s v="Returning"/>
    <n v="7.0000000000000007E-2"/>
    <s v="Credit Card"/>
    <s v="Retail"/>
    <s v="East-David"/>
  </r>
  <r>
    <n v="1084"/>
    <d v="2023-08-13T00:00:00"/>
    <x v="4"/>
    <x v="1"/>
    <n v="1290.05"/>
    <n v="21"/>
    <x v="0"/>
    <n v="3497.98"/>
    <n v="3765.31"/>
    <s v="New"/>
    <n v="0.08"/>
    <s v="Cash"/>
    <s v="Online"/>
    <s v="West-Alice"/>
  </r>
  <r>
    <n v="1092"/>
    <d v="2023-01-20T00:00:00"/>
    <x v="2"/>
    <x v="3"/>
    <n v="2729.27"/>
    <n v="40"/>
    <x v="3"/>
    <n v="4624.16"/>
    <n v="4731.9799999999996"/>
    <s v="New"/>
    <n v="0.2"/>
    <s v="Bank Transfer"/>
    <s v="Retail"/>
    <s v="East-Charlie"/>
  </r>
  <r>
    <n v="1060"/>
    <d v="2023-04-23T00:00:00"/>
    <x v="3"/>
    <x v="3"/>
    <n v="273.77"/>
    <n v="23"/>
    <x v="2"/>
    <n v="4110.6000000000004"/>
    <n v="4488.37"/>
    <s v="New"/>
    <n v="0.12"/>
    <s v="Credit Card"/>
    <s v="Online"/>
    <s v="East-Eve"/>
  </r>
  <r>
    <n v="1071"/>
    <d v="2023-05-20T00:00:00"/>
    <x v="3"/>
    <x v="1"/>
    <n v="3003.76"/>
    <n v="6"/>
    <x v="0"/>
    <n v="2831.23"/>
    <n v="3206.98"/>
    <s v="Returning"/>
    <n v="0.06"/>
    <s v="Bank Transfer"/>
    <s v="Retail"/>
    <s v="West-Eve"/>
  </r>
  <r>
    <n v="1044"/>
    <d v="2023-02-16T00:00:00"/>
    <x v="1"/>
    <x v="2"/>
    <n v="7754.1"/>
    <n v="22"/>
    <x v="1"/>
    <n v="3373.46"/>
    <n v="3454.76"/>
    <s v="Returning"/>
    <n v="0.22"/>
    <s v="Bank Transfer"/>
    <s v="Retail"/>
    <s v="South-David"/>
  </r>
  <r>
    <n v="1008"/>
    <d v="2023-01-01T00:00:00"/>
    <x v="3"/>
    <x v="0"/>
    <n v="5227.8100000000004"/>
    <n v="38"/>
    <x v="2"/>
    <n v="4635.2299999999996"/>
    <n v="5075.4399999999996"/>
    <s v="Returning"/>
    <n v="0.05"/>
    <s v="Cash"/>
    <s v="Online"/>
    <s v="North-Eve"/>
  </r>
  <r>
    <n v="1047"/>
    <d v="2023-03-31T00:00:00"/>
    <x v="4"/>
    <x v="3"/>
    <n v="3546.15"/>
    <n v="37"/>
    <x v="3"/>
    <n v="3114.88"/>
    <n v="3256.78"/>
    <s v="Returning"/>
    <n v="0.26"/>
    <s v="Credit Card"/>
    <s v="Online"/>
    <s v="East-Alice"/>
  </r>
  <r>
    <n v="1035"/>
    <d v="2023-05-22T00:00:00"/>
    <x v="4"/>
    <x v="2"/>
    <n v="3780.22"/>
    <n v="45"/>
    <x v="1"/>
    <n v="4132.79"/>
    <n v="4624.1000000000004"/>
    <s v="New"/>
    <n v="0.15"/>
    <s v="Credit Card"/>
    <s v="Retail"/>
    <s v="South-Alice"/>
  </r>
  <r>
    <n v="1078"/>
    <d v="2023-11-16T00:00:00"/>
    <x v="1"/>
    <x v="3"/>
    <n v="113.4"/>
    <n v="8"/>
    <x v="0"/>
    <n v="3459.61"/>
    <n v="3657.23"/>
    <s v="Returning"/>
    <n v="0.03"/>
    <s v="Bank Transfer"/>
    <s v="Online"/>
    <s v="East-David"/>
  </r>
  <r>
    <n v="1081"/>
    <d v="2023-02-07T00:00:00"/>
    <x v="1"/>
    <x v="3"/>
    <n v="3068.03"/>
    <n v="41"/>
    <x v="0"/>
    <n v="2782.08"/>
    <n v="2879.24"/>
    <s v="New"/>
    <n v="0.21"/>
    <s v="Bank Transfer"/>
    <s v="Online"/>
    <s v="East-David"/>
  </r>
  <r>
    <n v="1036"/>
    <d v="2023-10-20T00:00:00"/>
    <x v="1"/>
    <x v="0"/>
    <n v="6499.94"/>
    <n v="49"/>
    <x v="2"/>
    <n v="1247.0999999999999"/>
    <n v="1429.44"/>
    <s v="New"/>
    <n v="0.16"/>
    <s v="Cash"/>
    <s v="Online"/>
    <s v="North-David"/>
  </r>
  <r>
    <n v="1050"/>
    <d v="2023-05-19T00:00:00"/>
    <x v="2"/>
    <x v="3"/>
    <n v="9744.52"/>
    <n v="35"/>
    <x v="2"/>
    <n v="2158.69"/>
    <n v="2384.38"/>
    <s v="Returning"/>
    <n v="0.09"/>
    <s v="Bank Transfer"/>
    <s v="Retail"/>
    <s v="East-Charlie"/>
  </r>
  <r>
    <n v="1004"/>
    <d v="2023-12-22T00:00:00"/>
    <x v="3"/>
    <x v="0"/>
    <n v="8485.9"/>
    <n v="11"/>
    <x v="2"/>
    <n v="4840.33"/>
    <n v="4884.29"/>
    <s v="New"/>
    <n v="0.13"/>
    <s v="Cash"/>
    <s v="Online"/>
    <s v="North-Eve"/>
  </r>
  <r>
    <n v="1002"/>
    <d v="2023-11-29T00:00:00"/>
    <x v="1"/>
    <x v="0"/>
    <n v="333.59"/>
    <n v="24"/>
    <x v="0"/>
    <n v="3305.94"/>
    <n v="3599.27"/>
    <s v="New"/>
    <n v="0.09"/>
    <s v="Credit Card"/>
    <s v="Retail"/>
    <s v="North-David"/>
  </r>
  <r>
    <n v="1006"/>
    <d v="2023-09-16T00:00:00"/>
    <x v="0"/>
    <x v="0"/>
    <n v="8995.75"/>
    <n v="49"/>
    <x v="1"/>
    <n v="2843.76"/>
    <n v="3146.6"/>
    <s v="New"/>
    <n v="0.08"/>
    <s v="Cash"/>
    <s v="Retail"/>
    <s v="North-Bob"/>
  </r>
  <r>
    <n v="1054"/>
    <d v="2023-06-10T00:00:00"/>
    <x v="0"/>
    <x v="2"/>
    <n v="7853.66"/>
    <n v="21"/>
    <x v="0"/>
    <n v="4668.1400000000003"/>
    <n v="5040.22"/>
    <s v="New"/>
    <n v="0.05"/>
    <s v="Bank Transfer"/>
    <s v="Online"/>
    <s v="South-Bob"/>
  </r>
  <r>
    <n v="1004"/>
    <d v="2023-06-27T00:00:00"/>
    <x v="4"/>
    <x v="1"/>
    <n v="7825.72"/>
    <n v="2"/>
    <x v="3"/>
    <n v="2953.23"/>
    <n v="2977.52"/>
    <s v="Returning"/>
    <n v="0.11"/>
    <s v="Credit Card"/>
    <s v="Retail"/>
    <s v="West-Alice"/>
  </r>
  <r>
    <n v="1054"/>
    <d v="2023-01-10T00:00:00"/>
    <x v="3"/>
    <x v="2"/>
    <n v="4634.16"/>
    <n v="40"/>
    <x v="0"/>
    <n v="2654.11"/>
    <n v="2929.32"/>
    <s v="Returning"/>
    <n v="0.08"/>
    <s v="Cash"/>
    <s v="Online"/>
    <s v="South-Eve"/>
  </r>
  <r>
    <n v="1093"/>
    <d v="2023-09-18T00:00:00"/>
    <x v="1"/>
    <x v="1"/>
    <n v="4040.25"/>
    <n v="19"/>
    <x v="3"/>
    <n v="3808.59"/>
    <n v="3844.51"/>
    <s v="New"/>
    <n v="0.21"/>
    <s v="Credit Card"/>
    <s v="Online"/>
    <s v="West-David"/>
  </r>
  <r>
    <n v="1063"/>
    <d v="2023-05-18T00:00:00"/>
    <x v="0"/>
    <x v="1"/>
    <n v="3098.87"/>
    <n v="39"/>
    <x v="1"/>
    <n v="3577.69"/>
    <n v="3931.25"/>
    <s v="Returning"/>
    <n v="0.21"/>
    <s v="Cash"/>
    <s v="Retail"/>
    <s v="West-Bob"/>
  </r>
  <r>
    <n v="1018"/>
    <d v="2023-06-21T00:00:00"/>
    <x v="3"/>
    <x v="0"/>
    <n v="750.38"/>
    <n v="28"/>
    <x v="2"/>
    <n v="1006.14"/>
    <n v="1043.45"/>
    <s v="New"/>
    <n v="0.15"/>
    <s v="Bank Transfer"/>
    <s v="Retail"/>
    <s v="North-Eve"/>
  </r>
  <r>
    <n v="1090"/>
    <d v="2023-01-13T00:00:00"/>
    <x v="4"/>
    <x v="3"/>
    <n v="2359.5300000000002"/>
    <n v="17"/>
    <x v="2"/>
    <n v="2382.98"/>
    <n v="2839.73"/>
    <s v="Returning"/>
    <n v="0.23"/>
    <s v="Bank Transfer"/>
    <s v="Retail"/>
    <s v="East-Alice"/>
  </r>
  <r>
    <n v="1044"/>
    <d v="2023-06-17T00:00:00"/>
    <x v="2"/>
    <x v="0"/>
    <n v="2541.38"/>
    <n v="6"/>
    <x v="0"/>
    <n v="2388.9499999999998"/>
    <n v="2742.97"/>
    <s v="Returning"/>
    <n v="0.25"/>
    <s v="Credit Card"/>
    <s v="Retail"/>
    <s v="North-Charlie"/>
  </r>
  <r>
    <n v="1034"/>
    <d v="2023-05-10T00:00:00"/>
    <x v="3"/>
    <x v="3"/>
    <n v="4892.3599999999997"/>
    <n v="19"/>
    <x v="2"/>
    <n v="1922.21"/>
    <n v="2180.83"/>
    <s v="Returning"/>
    <n v="0.17"/>
    <s v="Credit Card"/>
    <s v="Retail"/>
    <s v="East-Eve"/>
  </r>
  <r>
    <n v="1074"/>
    <d v="2023-03-25T00:00:00"/>
    <x v="3"/>
    <x v="1"/>
    <n v="7499.7"/>
    <n v="38"/>
    <x v="1"/>
    <n v="2610.6"/>
    <n v="2836.94"/>
    <s v="Returning"/>
    <n v="0.19"/>
    <s v="Credit Card"/>
    <s v="Online"/>
    <s v="West-Eve"/>
  </r>
  <r>
    <n v="1062"/>
    <d v="2023-11-17T00:00:00"/>
    <x v="2"/>
    <x v="0"/>
    <n v="4790.72"/>
    <n v="28"/>
    <x v="2"/>
    <n v="2094.88"/>
    <n v="2168.91"/>
    <s v="Returning"/>
    <n v="0.08"/>
    <s v="Cash"/>
    <s v="Retail"/>
    <s v="North-Charlie"/>
  </r>
  <r>
    <n v="1100"/>
    <d v="2023-11-15T00:00:00"/>
    <x v="3"/>
    <x v="3"/>
    <n v="672.66"/>
    <n v="2"/>
    <x v="0"/>
    <n v="1036.76"/>
    <n v="1189.3499999999999"/>
    <s v="New"/>
    <n v="0.27"/>
    <s v="Bank Transfer"/>
    <s v="Online"/>
    <s v="East-Eve"/>
  </r>
  <r>
    <n v="1014"/>
    <d v="2023-04-11T00:00:00"/>
    <x v="4"/>
    <x v="2"/>
    <n v="9582.1200000000008"/>
    <n v="38"/>
    <x v="1"/>
    <n v="2091.21"/>
    <n v="2527"/>
    <s v="Returning"/>
    <n v="0.01"/>
    <s v="Credit Card"/>
    <s v="Online"/>
    <s v="South-Alice"/>
  </r>
  <r>
    <n v="1095"/>
    <d v="2023-11-25T00:00:00"/>
    <x v="4"/>
    <x v="3"/>
    <n v="9432.9699999999993"/>
    <n v="37"/>
    <x v="3"/>
    <n v="407.77"/>
    <n v="860.95"/>
    <s v="New"/>
    <n v="0.1"/>
    <s v="Credit Card"/>
    <s v="Retail"/>
    <s v="East-Alice"/>
  </r>
  <r>
    <n v="1048"/>
    <d v="2023-09-30T00:00:00"/>
    <x v="2"/>
    <x v="0"/>
    <n v="7873.38"/>
    <n v="4"/>
    <x v="0"/>
    <n v="2900.14"/>
    <n v="2910.51"/>
    <s v="New"/>
    <n v="0.22"/>
    <s v="Credit Card"/>
    <s v="Retail"/>
    <s v="North-Charlie"/>
  </r>
  <r>
    <n v="1015"/>
    <d v="2023-09-22T00:00:00"/>
    <x v="1"/>
    <x v="2"/>
    <n v="9914.15"/>
    <n v="22"/>
    <x v="3"/>
    <n v="4275.59"/>
    <n v="4576.72"/>
    <s v="Returning"/>
    <n v="0.02"/>
    <s v="Cash"/>
    <s v="Retail"/>
    <s v="South-David"/>
  </r>
  <r>
    <n v="1072"/>
    <d v="2023-02-07T00:00:00"/>
    <x v="0"/>
    <x v="3"/>
    <n v="5490.38"/>
    <n v="26"/>
    <x v="1"/>
    <n v="3640.17"/>
    <n v="4002.63"/>
    <s v="New"/>
    <n v="0.05"/>
    <s v="Credit Card"/>
    <s v="Retail"/>
    <s v="East-Bob"/>
  </r>
  <r>
    <n v="1078"/>
    <d v="2023-04-04T00:00:00"/>
    <x v="1"/>
    <x v="3"/>
    <n v="9631.41"/>
    <n v="49"/>
    <x v="0"/>
    <n v="1833.95"/>
    <n v="2147.14"/>
    <s v="Returning"/>
    <n v="0.18"/>
    <s v="Credit Card"/>
    <s v="Retail"/>
    <s v="East-David"/>
  </r>
  <r>
    <n v="1087"/>
    <d v="2023-04-05T00:00:00"/>
    <x v="3"/>
    <x v="3"/>
    <n v="848.49"/>
    <n v="43"/>
    <x v="0"/>
    <n v="481"/>
    <n v="531.02"/>
    <s v="New"/>
    <n v="0.17"/>
    <s v="Cash"/>
    <s v="Online"/>
    <s v="East-Eve"/>
  </r>
  <r>
    <n v="1062"/>
    <d v="2023-11-01T00:00:00"/>
    <x v="0"/>
    <x v="3"/>
    <n v="3720.24"/>
    <n v="36"/>
    <x v="1"/>
    <n v="1050.6400000000001"/>
    <n v="1167.33"/>
    <s v="New"/>
    <n v="0.22"/>
    <s v="Cash"/>
    <s v="Online"/>
    <s v="East-Bob"/>
  </r>
  <r>
    <n v="1040"/>
    <d v="2023-03-10T00:00:00"/>
    <x v="2"/>
    <x v="3"/>
    <n v="2331.27"/>
    <n v="13"/>
    <x v="2"/>
    <n v="2750.18"/>
    <n v="2882.85"/>
    <s v="Returning"/>
    <n v="0.24"/>
    <s v="Credit Card"/>
    <s v="Online"/>
    <s v="East-Charlie"/>
  </r>
  <r>
    <n v="1085"/>
    <d v="2023-11-14T00:00:00"/>
    <x v="2"/>
    <x v="2"/>
    <n v="2038.75"/>
    <n v="32"/>
    <x v="0"/>
    <n v="1074.93"/>
    <n v="1492.48"/>
    <s v="Returning"/>
    <n v="0.04"/>
    <s v="Credit Card"/>
    <s v="Retail"/>
    <s v="South-Charlie"/>
  </r>
  <r>
    <n v="1080"/>
    <d v="2023-08-24T00:00:00"/>
    <x v="0"/>
    <x v="1"/>
    <n v="1493.95"/>
    <n v="17"/>
    <x v="0"/>
    <n v="2742.67"/>
    <n v="2979.64"/>
    <s v="Returning"/>
    <n v="0.01"/>
    <s v="Cash"/>
    <s v="Retail"/>
    <s v="West-Bob"/>
  </r>
  <r>
    <n v="1082"/>
    <d v="2023-11-30T00:00:00"/>
    <x v="4"/>
    <x v="2"/>
    <n v="6261.9"/>
    <n v="41"/>
    <x v="3"/>
    <n v="1196.42"/>
    <n v="1444.97"/>
    <s v="Returning"/>
    <n v="0.21"/>
    <s v="Bank Transfer"/>
    <s v="Online"/>
    <s v="South-Alice"/>
  </r>
  <r>
    <n v="1053"/>
    <d v="2023-05-17T00:00:00"/>
    <x v="0"/>
    <x v="2"/>
    <n v="7835.09"/>
    <n v="36"/>
    <x v="2"/>
    <n v="4252.17"/>
    <n v="4720.2700000000004"/>
    <s v="New"/>
    <n v="0.09"/>
    <s v="Cash"/>
    <s v="Retail"/>
    <s v="South-Bob"/>
  </r>
  <r>
    <n v="1024"/>
    <d v="2023-03-17T00:00:00"/>
    <x v="3"/>
    <x v="2"/>
    <n v="5825.15"/>
    <n v="46"/>
    <x v="3"/>
    <n v="2016.49"/>
    <n v="2338.66"/>
    <s v="Returning"/>
    <n v="0.19"/>
    <s v="Bank Transfer"/>
    <s v="Retail"/>
    <s v="South-Eve"/>
  </r>
  <r>
    <n v="1026"/>
    <d v="2023-02-04T00:00:00"/>
    <x v="4"/>
    <x v="1"/>
    <n v="1554.93"/>
    <n v="19"/>
    <x v="3"/>
    <n v="1265.48"/>
    <n v="1715.83"/>
    <s v="New"/>
    <n v="0.05"/>
    <s v="Credit Card"/>
    <s v="Retail"/>
    <s v="West-Alice"/>
  </r>
  <r>
    <n v="1089"/>
    <d v="2023-01-01T00:00:00"/>
    <x v="2"/>
    <x v="0"/>
    <n v="8130.13"/>
    <n v="35"/>
    <x v="2"/>
    <n v="4071.01"/>
    <n v="4304.7"/>
    <s v="New"/>
    <n v="0.14000000000000001"/>
    <s v="Credit Card"/>
    <s v="Online"/>
    <s v="North-Charlie"/>
  </r>
  <r>
    <n v="1060"/>
    <d v="2023-10-23T00:00:00"/>
    <x v="0"/>
    <x v="1"/>
    <n v="6395.95"/>
    <n v="46"/>
    <x v="2"/>
    <n v="1747.05"/>
    <n v="1830.27"/>
    <s v="New"/>
    <n v="0.15"/>
    <s v="Bank Transfer"/>
    <s v="Retail"/>
    <s v="West-Bob"/>
  </r>
  <r>
    <n v="1041"/>
    <d v="2023-11-16T00:00:00"/>
    <x v="1"/>
    <x v="2"/>
    <n v="3942.84"/>
    <n v="40"/>
    <x v="1"/>
    <n v="601.86"/>
    <n v="1067.53"/>
    <s v="New"/>
    <n v="0.18"/>
    <s v="Cash"/>
    <s v="Online"/>
    <s v="South-David"/>
  </r>
  <r>
    <n v="1029"/>
    <d v="2023-03-01T00:00:00"/>
    <x v="1"/>
    <x v="3"/>
    <n v="6773.89"/>
    <n v="28"/>
    <x v="2"/>
    <n v="2873.53"/>
    <n v="3108.3"/>
    <s v="New"/>
    <n v="0.15"/>
    <s v="Credit Card"/>
    <s v="Retail"/>
    <s v="East-David"/>
  </r>
  <r>
    <n v="1015"/>
    <d v="2023-11-16T00:00:00"/>
    <x v="3"/>
    <x v="3"/>
    <n v="2673.06"/>
    <n v="1"/>
    <x v="0"/>
    <n v="2928.74"/>
    <n v="3027.74"/>
    <s v="New"/>
    <n v="0.15"/>
    <s v="Bank Transfer"/>
    <s v="Retail"/>
    <s v="East-Eve"/>
  </r>
  <r>
    <n v="1045"/>
    <d v="2023-12-15T00:00:00"/>
    <x v="1"/>
    <x v="2"/>
    <n v="3517.4"/>
    <n v="42"/>
    <x v="2"/>
    <n v="3587.74"/>
    <n v="3745.91"/>
    <s v="Returning"/>
    <n v="0.1"/>
    <s v="Cash"/>
    <s v="Online"/>
    <s v="South-David"/>
  </r>
  <r>
    <n v="1065"/>
    <d v="2023-11-24T00:00:00"/>
    <x v="0"/>
    <x v="3"/>
    <n v="9183.11"/>
    <n v="18"/>
    <x v="1"/>
    <n v="1239.0899999999999"/>
    <n v="1273.98"/>
    <s v="New"/>
    <n v="0.02"/>
    <s v="Bank Transfer"/>
    <s v="Retail"/>
    <s v="East-Bob"/>
  </r>
  <r>
    <n v="1089"/>
    <d v="2023-09-24T00:00:00"/>
    <x v="0"/>
    <x v="2"/>
    <n v="2975.99"/>
    <n v="48"/>
    <x v="1"/>
    <n v="2246.67"/>
    <n v="2486.14"/>
    <s v="New"/>
    <n v="0.03"/>
    <s v="Cash"/>
    <s v="Retail"/>
    <s v="South-Bob"/>
  </r>
  <r>
    <n v="1071"/>
    <d v="2023-12-27T00:00:00"/>
    <x v="1"/>
    <x v="3"/>
    <n v="4752.88"/>
    <n v="40"/>
    <x v="1"/>
    <n v="1447.72"/>
    <n v="1875.75"/>
    <s v="New"/>
    <n v="0.13"/>
    <s v="Cash"/>
    <s v="Retail"/>
    <s v="East-David"/>
  </r>
  <r>
    <n v="1009"/>
    <d v="2023-08-17T00:00:00"/>
    <x v="0"/>
    <x v="1"/>
    <n v="8912.4"/>
    <n v="33"/>
    <x v="2"/>
    <n v="450.72"/>
    <n v="918.17"/>
    <s v="Returning"/>
    <n v="0.11"/>
    <s v="Cash"/>
    <s v="Online"/>
    <s v="West-Bob"/>
  </r>
  <r>
    <n v="1088"/>
    <d v="2023-09-27T00:00:00"/>
    <x v="3"/>
    <x v="0"/>
    <n v="7106.44"/>
    <n v="12"/>
    <x v="2"/>
    <n v="4389.24"/>
    <n v="4856.22"/>
    <s v="Returning"/>
    <n v="0.15"/>
    <s v="Cash"/>
    <s v="Retail"/>
    <s v="North-Eve"/>
  </r>
  <r>
    <n v="1001"/>
    <d v="2023-11-12T00:00:00"/>
    <x v="4"/>
    <x v="0"/>
    <n v="715.81"/>
    <n v="8"/>
    <x v="3"/>
    <n v="3657.91"/>
    <n v="3729.27"/>
    <s v="New"/>
    <n v="0.09"/>
    <s v="Bank Transfer"/>
    <s v="Retail"/>
    <s v="North-Alice"/>
  </r>
  <r>
    <n v="1008"/>
    <d v="2023-10-13T00:00:00"/>
    <x v="3"/>
    <x v="1"/>
    <n v="1558.3"/>
    <n v="24"/>
    <x v="3"/>
    <n v="1542.24"/>
    <n v="1739.45"/>
    <s v="Returning"/>
    <n v="0.21"/>
    <s v="Bank Transfer"/>
    <s v="Retail"/>
    <s v="West-Eve"/>
  </r>
  <r>
    <n v="1088"/>
    <d v="2023-10-18T00:00:00"/>
    <x v="3"/>
    <x v="1"/>
    <n v="177.63"/>
    <n v="16"/>
    <x v="0"/>
    <n v="3016.9"/>
    <n v="3040.73"/>
    <s v="New"/>
    <n v="0.26"/>
    <s v="Bank Transfer"/>
    <s v="Retail"/>
    <s v="West-Eve"/>
  </r>
  <r>
    <n v="1063"/>
    <d v="2023-08-01T00:00:00"/>
    <x v="0"/>
    <x v="2"/>
    <n v="6346.13"/>
    <n v="4"/>
    <x v="3"/>
    <n v="1046.26"/>
    <n v="1475.29"/>
    <s v="Returning"/>
    <n v="0.09"/>
    <s v="Bank Transfer"/>
    <s v="Retail"/>
    <s v="South-Bob"/>
  </r>
  <r>
    <n v="1011"/>
    <d v="2023-06-14T00:00:00"/>
    <x v="4"/>
    <x v="2"/>
    <n v="4531.97"/>
    <n v="38"/>
    <x v="0"/>
    <n v="4456.67"/>
    <n v="4642.46"/>
    <s v="New"/>
    <n v="0.06"/>
    <s v="Bank Transfer"/>
    <s v="Online"/>
    <s v="South-Alice"/>
  </r>
  <r>
    <n v="1081"/>
    <d v="2023-01-05T00:00:00"/>
    <x v="0"/>
    <x v="2"/>
    <n v="1429.32"/>
    <n v="44"/>
    <x v="1"/>
    <n v="618.79"/>
    <n v="938.04"/>
    <s v="Returning"/>
    <n v="0.03"/>
    <s v="Cash"/>
    <s v="Online"/>
    <s v="South-Bob"/>
  </r>
  <r>
    <n v="1008"/>
    <d v="2023-12-05T00:00:00"/>
    <x v="2"/>
    <x v="3"/>
    <n v="9583.5499999999993"/>
    <n v="27"/>
    <x v="3"/>
    <n v="68.989999999999995"/>
    <n v="429.29"/>
    <s v="Returning"/>
    <n v="0.18"/>
    <s v="Credit Card"/>
    <s v="Retail"/>
    <s v="East-Charlie"/>
  </r>
  <r>
    <n v="1035"/>
    <d v="2023-03-19T00:00:00"/>
    <x v="0"/>
    <x v="2"/>
    <n v="5343.63"/>
    <n v="9"/>
    <x v="2"/>
    <n v="2534.94"/>
    <n v="2755.56"/>
    <s v="Returning"/>
    <n v="0.13"/>
    <s v="Credit Card"/>
    <s v="Retail"/>
    <s v="South-Bob"/>
  </r>
  <r>
    <n v="1035"/>
    <d v="2023-03-03T00:00:00"/>
    <x v="0"/>
    <x v="1"/>
    <n v="2494.7399999999998"/>
    <n v="47"/>
    <x v="3"/>
    <n v="2936.48"/>
    <n v="3096.64"/>
    <s v="New"/>
    <n v="0.06"/>
    <s v="Bank Transfer"/>
    <s v="Online"/>
    <s v="West-Bob"/>
  </r>
  <r>
    <n v="1033"/>
    <d v="2023-05-12T00:00:00"/>
    <x v="0"/>
    <x v="0"/>
    <n v="5055.9799999999996"/>
    <n v="16"/>
    <x v="0"/>
    <n v="2915.88"/>
    <n v="3397.36"/>
    <s v="New"/>
    <n v="0.2"/>
    <s v="Bank Transfer"/>
    <s v="Retail"/>
    <s v="North-Bob"/>
  </r>
  <r>
    <n v="1005"/>
    <d v="2023-03-30T00:00:00"/>
    <x v="4"/>
    <x v="3"/>
    <n v="6828.24"/>
    <n v="12"/>
    <x v="3"/>
    <n v="319.83"/>
    <n v="802.43"/>
    <s v="New"/>
    <n v="0.04"/>
    <s v="Credit Card"/>
    <s v="Retail"/>
    <s v="East-Alice"/>
  </r>
  <r>
    <n v="1041"/>
    <d v="2023-08-25T00:00:00"/>
    <x v="0"/>
    <x v="2"/>
    <n v="854.77"/>
    <n v="31"/>
    <x v="1"/>
    <n v="1604.52"/>
    <n v="1756.34"/>
    <s v="Returning"/>
    <n v="0.17"/>
    <s v="Cash"/>
    <s v="Retail"/>
    <s v="South-Bob"/>
  </r>
  <r>
    <n v="1028"/>
    <d v="2023-02-11T00:00:00"/>
    <x v="4"/>
    <x v="3"/>
    <n v="2819.57"/>
    <n v="24"/>
    <x v="2"/>
    <n v="2521.0300000000002"/>
    <n v="2766.05"/>
    <s v="Returning"/>
    <n v="0.16"/>
    <s v="Bank Transfer"/>
    <s v="Retail"/>
    <s v="East-Alice"/>
  </r>
  <r>
    <n v="1007"/>
    <d v="2023-03-30T00:00:00"/>
    <x v="1"/>
    <x v="3"/>
    <n v="8088.96"/>
    <n v="14"/>
    <x v="0"/>
    <n v="1122.07"/>
    <n v="1608.76"/>
    <s v="New"/>
    <n v="0.22"/>
    <s v="Cash"/>
    <s v="Retail"/>
    <s v="East-David"/>
  </r>
  <r>
    <n v="1073"/>
    <d v="2023-10-23T00:00:00"/>
    <x v="2"/>
    <x v="2"/>
    <n v="4650.68"/>
    <n v="45"/>
    <x v="2"/>
    <n v="4369.5"/>
    <n v="4381.8900000000003"/>
    <s v="Returning"/>
    <n v="0.02"/>
    <s v="Credit Card"/>
    <s v="Retail"/>
    <s v="South-Charlie"/>
  </r>
  <r>
    <n v="1072"/>
    <d v="2023-11-24T00:00:00"/>
    <x v="4"/>
    <x v="3"/>
    <n v="5511.11"/>
    <n v="25"/>
    <x v="2"/>
    <n v="481.19"/>
    <n v="693.4"/>
    <s v="New"/>
    <n v="0.27"/>
    <s v="Credit Card"/>
    <s v="Retail"/>
    <s v="East-Alice"/>
  </r>
  <r>
    <n v="1012"/>
    <d v="2023-10-22T00:00:00"/>
    <x v="1"/>
    <x v="0"/>
    <n v="4384.88"/>
    <n v="34"/>
    <x v="0"/>
    <n v="2462.5500000000002"/>
    <n v="2521.77"/>
    <s v="New"/>
    <n v="0.21"/>
    <s v="Bank Transfer"/>
    <s v="Retail"/>
    <s v="North-David"/>
  </r>
  <r>
    <n v="1034"/>
    <d v="2023-04-14T00:00:00"/>
    <x v="4"/>
    <x v="1"/>
    <n v="534.61"/>
    <n v="3"/>
    <x v="2"/>
    <n v="3472.51"/>
    <n v="3732"/>
    <s v="New"/>
    <n v="0.06"/>
    <s v="Cash"/>
    <s v="Online"/>
    <s v="West-Alice"/>
  </r>
  <r>
    <n v="1033"/>
    <d v="2023-01-14T00:00:00"/>
    <x v="4"/>
    <x v="1"/>
    <n v="1740.92"/>
    <n v="24"/>
    <x v="2"/>
    <n v="1345.67"/>
    <n v="1367.76"/>
    <s v="New"/>
    <n v="0.06"/>
    <s v="Bank Transfer"/>
    <s v="Online"/>
    <s v="West-Alice"/>
  </r>
  <r>
    <n v="1048"/>
    <d v="2023-10-15T00:00:00"/>
    <x v="2"/>
    <x v="0"/>
    <n v="4510.8599999999997"/>
    <n v="42"/>
    <x v="3"/>
    <n v="3139.99"/>
    <n v="3349.37"/>
    <s v="Returning"/>
    <n v="0.13"/>
    <s v="Credit Card"/>
    <s v="Retail"/>
    <s v="North-Charlie"/>
  </r>
  <r>
    <n v="1023"/>
    <d v="2023-06-28T00:00:00"/>
    <x v="3"/>
    <x v="3"/>
    <n v="2170.94"/>
    <n v="9"/>
    <x v="2"/>
    <n v="4155.46"/>
    <n v="4273.6000000000004"/>
    <s v="Returning"/>
    <n v="0.25"/>
    <s v="Cash"/>
    <s v="Retail"/>
    <s v="East-Eve"/>
  </r>
  <r>
    <n v="1062"/>
    <d v="2023-05-05T00:00:00"/>
    <x v="3"/>
    <x v="2"/>
    <n v="594.79"/>
    <n v="26"/>
    <x v="2"/>
    <n v="992.17"/>
    <n v="1263.49"/>
    <s v="Returning"/>
    <n v="0.25"/>
    <s v="Bank Transfer"/>
    <s v="Retail"/>
    <s v="South-Eve"/>
  </r>
  <r>
    <n v="1088"/>
    <d v="2023-12-19T00:00:00"/>
    <x v="4"/>
    <x v="3"/>
    <n v="8452.1299999999992"/>
    <n v="20"/>
    <x v="2"/>
    <n v="4590.24"/>
    <n v="5088.28"/>
    <s v="New"/>
    <n v="0.16"/>
    <s v="Bank Transfer"/>
    <s v="Retail"/>
    <s v="East-Alice"/>
  </r>
  <r>
    <n v="1037"/>
    <d v="2023-01-23T00:00:00"/>
    <x v="0"/>
    <x v="0"/>
    <n v="9813.81"/>
    <n v="40"/>
    <x v="2"/>
    <n v="2790.11"/>
    <n v="3192.37"/>
    <s v="Returning"/>
    <n v="0.26"/>
    <s v="Bank Transfer"/>
    <s v="Online"/>
    <s v="North-Bob"/>
  </r>
  <r>
    <n v="1099"/>
    <d v="2023-03-04T00:00:00"/>
    <x v="1"/>
    <x v="3"/>
    <n v="7952.11"/>
    <n v="10"/>
    <x v="0"/>
    <n v="1531.2"/>
    <n v="1955.56"/>
    <s v="New"/>
    <n v="0"/>
    <s v="Credit Card"/>
    <s v="Online"/>
    <s v="East-David"/>
  </r>
  <r>
    <n v="1044"/>
    <d v="2023-05-23T00:00:00"/>
    <x v="0"/>
    <x v="1"/>
    <n v="8552.4699999999993"/>
    <n v="19"/>
    <x v="1"/>
    <n v="2182.75"/>
    <n v="2504.0300000000002"/>
    <s v="New"/>
    <n v="0.01"/>
    <s v="Bank Transfer"/>
    <s v="Online"/>
    <s v="West-Bob"/>
  </r>
  <r>
    <n v="1086"/>
    <d v="2023-06-02T00:00:00"/>
    <x v="0"/>
    <x v="3"/>
    <n v="2495.5700000000002"/>
    <n v="3"/>
    <x v="3"/>
    <n v="1595.35"/>
    <n v="1625.71"/>
    <s v="New"/>
    <n v="0.27"/>
    <s v="Cash"/>
    <s v="Online"/>
    <s v="East-Bob"/>
  </r>
  <r>
    <n v="1091"/>
    <d v="2023-05-25T00:00:00"/>
    <x v="4"/>
    <x v="0"/>
    <n v="9610.2099999999991"/>
    <n v="24"/>
    <x v="2"/>
    <n v="3639.3"/>
    <n v="3750.63"/>
    <s v="New"/>
    <n v="0.23"/>
    <s v="Bank Transfer"/>
    <s v="Retail"/>
    <s v="North-Alice"/>
  </r>
  <r>
    <n v="1035"/>
    <d v="2023-08-13T00:00:00"/>
    <x v="4"/>
    <x v="1"/>
    <n v="2049.56"/>
    <n v="5"/>
    <x v="2"/>
    <n v="3991.69"/>
    <n v="4454.97"/>
    <s v="New"/>
    <n v="0.14000000000000001"/>
    <s v="Credit Card"/>
    <s v="Retail"/>
    <s v="West-Alice"/>
  </r>
  <r>
    <n v="1065"/>
    <d v="2023-11-05T00:00:00"/>
    <x v="4"/>
    <x v="3"/>
    <n v="9519.16"/>
    <n v="3"/>
    <x v="0"/>
    <n v="4173.04"/>
    <n v="4362.4399999999996"/>
    <s v="New"/>
    <n v="0.23"/>
    <s v="Bank Transfer"/>
    <s v="Retail"/>
    <s v="East-Alice"/>
  </r>
  <r>
    <n v="1099"/>
    <d v="2023-04-14T00:00:00"/>
    <x v="4"/>
    <x v="3"/>
    <n v="9948.7099999999991"/>
    <n v="27"/>
    <x v="1"/>
    <n v="4929.55"/>
    <n v="4990.33"/>
    <s v="Returning"/>
    <n v="0.28999999999999998"/>
    <s v="Credit Card"/>
    <s v="Online"/>
    <s v="East-Alice"/>
  </r>
  <r>
    <n v="1047"/>
    <d v="2023-04-14T00:00:00"/>
    <x v="3"/>
    <x v="1"/>
    <n v="7146.06"/>
    <n v="16"/>
    <x v="2"/>
    <n v="3966.86"/>
    <n v="4321.04"/>
    <s v="Returning"/>
    <n v="0.23"/>
    <s v="Credit Card"/>
    <s v="Retail"/>
    <s v="West-Eve"/>
  </r>
  <r>
    <n v="1078"/>
    <d v="2023-02-08T00:00:00"/>
    <x v="4"/>
    <x v="2"/>
    <n v="9813.32"/>
    <n v="49"/>
    <x v="0"/>
    <n v="3026.85"/>
    <n v="3183.58"/>
    <s v="Returning"/>
    <n v="0.25"/>
    <s v="Cash"/>
    <s v="Retail"/>
    <s v="South-Alice"/>
  </r>
  <r>
    <n v="1003"/>
    <d v="2023-07-17T00:00:00"/>
    <x v="3"/>
    <x v="1"/>
    <n v="5738.44"/>
    <n v="15"/>
    <x v="3"/>
    <n v="1729.14"/>
    <n v="1870.88"/>
    <s v="Returning"/>
    <n v="0.23"/>
    <s v="Cash"/>
    <s v="Online"/>
    <s v="West-Eve"/>
  </r>
  <r>
    <n v="1001"/>
    <d v="2023-05-14T00:00:00"/>
    <x v="3"/>
    <x v="2"/>
    <n v="2669.46"/>
    <n v="35"/>
    <x v="3"/>
    <n v="2745.75"/>
    <n v="3244.76"/>
    <s v="New"/>
    <n v="0.05"/>
    <s v="Bank Transfer"/>
    <s v="Online"/>
    <s v="South-Eve"/>
  </r>
  <r>
    <n v="1005"/>
    <d v="2023-03-08T00:00:00"/>
    <x v="4"/>
    <x v="0"/>
    <n v="4426.26"/>
    <n v="12"/>
    <x v="2"/>
    <n v="253.29"/>
    <n v="683.78"/>
    <s v="New"/>
    <n v="0.25"/>
    <s v="Credit Card"/>
    <s v="Online"/>
    <s v="North-Alice"/>
  </r>
  <r>
    <n v="1090"/>
    <d v="2023-06-28T00:00:00"/>
    <x v="2"/>
    <x v="0"/>
    <n v="5976.25"/>
    <n v="41"/>
    <x v="2"/>
    <n v="3736.88"/>
    <n v="3946.77"/>
    <s v="Returning"/>
    <n v="0.06"/>
    <s v="Credit Card"/>
    <s v="Online"/>
    <s v="North-Charlie"/>
  </r>
  <r>
    <n v="1014"/>
    <d v="2023-02-11T00:00:00"/>
    <x v="1"/>
    <x v="1"/>
    <n v="823.51"/>
    <n v="44"/>
    <x v="1"/>
    <n v="2257.48"/>
    <n v="2747.81"/>
    <s v="Returning"/>
    <n v="0.27"/>
    <s v="Cash"/>
    <s v="Online"/>
    <s v="West-David"/>
  </r>
  <r>
    <n v="1027"/>
    <d v="2023-01-15T00:00:00"/>
    <x v="0"/>
    <x v="1"/>
    <n v="6261.2"/>
    <n v="26"/>
    <x v="1"/>
    <n v="149.11000000000001"/>
    <n v="477.67"/>
    <s v="Returning"/>
    <n v="0.14000000000000001"/>
    <s v="Cash"/>
    <s v="Retail"/>
    <s v="West-Bob"/>
  </r>
  <r>
    <n v="1009"/>
    <d v="2023-04-21T00:00:00"/>
    <x v="3"/>
    <x v="0"/>
    <n v="9813.66"/>
    <n v="47"/>
    <x v="2"/>
    <n v="359.41"/>
    <n v="733"/>
    <s v="Returning"/>
    <n v="0.2"/>
    <s v="Bank Transfer"/>
    <s v="Retail"/>
    <s v="North-Eve"/>
  </r>
  <r>
    <n v="1079"/>
    <d v="2023-06-06T00:00:00"/>
    <x v="1"/>
    <x v="2"/>
    <n v="1982.07"/>
    <n v="34"/>
    <x v="0"/>
    <n v="1967.96"/>
    <n v="1993.4"/>
    <s v="Returning"/>
    <n v="0.15"/>
    <s v="Credit Card"/>
    <s v="Online"/>
    <s v="South-David"/>
  </r>
  <r>
    <n v="1015"/>
    <d v="2023-10-16T00:00:00"/>
    <x v="2"/>
    <x v="0"/>
    <n v="7946.69"/>
    <n v="23"/>
    <x v="1"/>
    <n v="2937.94"/>
    <n v="3007.53"/>
    <s v="Returning"/>
    <n v="0.03"/>
    <s v="Cash"/>
    <s v="Retail"/>
    <s v="North-Charlie"/>
  </r>
  <r>
    <n v="1090"/>
    <d v="2023-08-19T00:00:00"/>
    <x v="0"/>
    <x v="1"/>
    <n v="9088.2000000000007"/>
    <n v="31"/>
    <x v="2"/>
    <n v="2347.81"/>
    <n v="2668.02"/>
    <s v="Returning"/>
    <n v="0.09"/>
    <s v="Bank Transfer"/>
    <s v="Retail"/>
    <s v="West-Bob"/>
  </r>
  <r>
    <n v="1042"/>
    <d v="2023-06-06T00:00:00"/>
    <x v="0"/>
    <x v="0"/>
    <n v="9442.65"/>
    <n v="20"/>
    <x v="1"/>
    <n v="3115.06"/>
    <n v="3565.58"/>
    <s v="Returning"/>
    <n v="0.3"/>
    <s v="Credit Card"/>
    <s v="Retail"/>
    <s v="North-Bob"/>
  </r>
  <r>
    <n v="1077"/>
    <d v="2023-02-07T00:00:00"/>
    <x v="3"/>
    <x v="1"/>
    <n v="9605.34"/>
    <n v="12"/>
    <x v="2"/>
    <n v="2427.46"/>
    <n v="2743.09"/>
    <s v="New"/>
    <n v="0.28999999999999998"/>
    <s v="Credit Card"/>
    <s v="Retail"/>
    <s v="West-Eve"/>
  </r>
  <r>
    <n v="1051"/>
    <d v="2023-04-07T00:00:00"/>
    <x v="4"/>
    <x v="1"/>
    <n v="5262.45"/>
    <n v="23"/>
    <x v="3"/>
    <n v="3325.43"/>
    <n v="3401.1"/>
    <s v="New"/>
    <n v="0.1"/>
    <s v="Cash"/>
    <s v="Online"/>
    <s v="West-Alice"/>
  </r>
  <r>
    <n v="1063"/>
    <d v="2023-10-16T00:00:00"/>
    <x v="2"/>
    <x v="0"/>
    <n v="9775.35"/>
    <n v="4"/>
    <x v="2"/>
    <n v="1134.67"/>
    <n v="1201.3900000000001"/>
    <s v="New"/>
    <n v="0.3"/>
    <s v="Bank Transfer"/>
    <s v="Retail"/>
    <s v="North-Charlie"/>
  </r>
  <r>
    <n v="1096"/>
    <d v="2023-09-11T00:00:00"/>
    <x v="3"/>
    <x v="2"/>
    <n v="7597.37"/>
    <n v="23"/>
    <x v="3"/>
    <n v="608.57000000000005"/>
    <n v="1032.22"/>
    <s v="New"/>
    <n v="0.25"/>
    <s v="Cash"/>
    <s v="Retail"/>
    <s v="South-Eve"/>
  </r>
  <r>
    <n v="1052"/>
    <d v="2023-07-15T00:00:00"/>
    <x v="2"/>
    <x v="3"/>
    <n v="1700.55"/>
    <n v="48"/>
    <x v="1"/>
    <n v="3002.35"/>
    <n v="3080.61"/>
    <s v="Returning"/>
    <n v="0.18"/>
    <s v="Bank Transfer"/>
    <s v="Retail"/>
    <s v="East-Charlie"/>
  </r>
  <r>
    <n v="1096"/>
    <d v="2023-03-27T00:00:00"/>
    <x v="4"/>
    <x v="0"/>
    <n v="4821.3100000000004"/>
    <n v="48"/>
    <x v="2"/>
    <n v="2449.21"/>
    <n v="2714.12"/>
    <s v="New"/>
    <n v="0.01"/>
    <s v="Credit Card"/>
    <s v="Online"/>
    <s v="North-Alice"/>
  </r>
  <r>
    <n v="1004"/>
    <d v="2023-11-18T00:00:00"/>
    <x v="4"/>
    <x v="3"/>
    <n v="7211.48"/>
    <n v="1"/>
    <x v="1"/>
    <n v="182.99"/>
    <n v="211.18"/>
    <s v="Returning"/>
    <n v="0.27"/>
    <s v="Bank Transfer"/>
    <s v="Retail"/>
    <s v="East-Alice"/>
  </r>
  <r>
    <n v="1094"/>
    <d v="2023-01-10T00:00:00"/>
    <x v="3"/>
    <x v="0"/>
    <n v="2548.67"/>
    <n v="25"/>
    <x v="3"/>
    <n v="1933.39"/>
    <n v="1982.92"/>
    <s v="New"/>
    <n v="0.17"/>
    <s v="Bank Transfer"/>
    <s v="Online"/>
    <s v="North-Eve"/>
  </r>
  <r>
    <n v="1023"/>
    <d v="2023-01-05T00:00:00"/>
    <x v="4"/>
    <x v="3"/>
    <n v="6442.09"/>
    <n v="2"/>
    <x v="2"/>
    <n v="575.32000000000005"/>
    <n v="914.77"/>
    <s v="Returning"/>
    <n v="0.26"/>
    <s v="Bank Transfer"/>
    <s v="Online"/>
    <s v="East-Alice"/>
  </r>
  <r>
    <n v="1015"/>
    <d v="2023-05-03T00:00:00"/>
    <x v="1"/>
    <x v="2"/>
    <n v="6699.34"/>
    <n v="30"/>
    <x v="1"/>
    <n v="2680.22"/>
    <n v="3027.92"/>
    <s v="Returning"/>
    <n v="0.25"/>
    <s v="Bank Transfer"/>
    <s v="Online"/>
    <s v="South-David"/>
  </r>
  <r>
    <n v="1043"/>
    <d v="2023-11-26T00:00:00"/>
    <x v="0"/>
    <x v="2"/>
    <n v="1710.73"/>
    <n v="3"/>
    <x v="3"/>
    <n v="2009.1"/>
    <n v="2186.42"/>
    <s v="New"/>
    <n v="0.25"/>
    <s v="Bank Transfer"/>
    <s v="Online"/>
    <s v="South-Bob"/>
  </r>
  <r>
    <n v="1029"/>
    <d v="2023-12-19T00:00:00"/>
    <x v="3"/>
    <x v="0"/>
    <n v="5694.34"/>
    <n v="21"/>
    <x v="1"/>
    <n v="3085.1"/>
    <n v="3200.75"/>
    <s v="New"/>
    <n v="0.21"/>
    <s v="Cash"/>
    <s v="Retail"/>
    <s v="North-Eve"/>
  </r>
  <r>
    <n v="1036"/>
    <d v="2023-04-28T00:00:00"/>
    <x v="2"/>
    <x v="1"/>
    <n v="7739.11"/>
    <n v="25"/>
    <x v="0"/>
    <n v="4037.73"/>
    <n v="4446.45"/>
    <s v="Returning"/>
    <n v="0.09"/>
    <s v="Bank Transfer"/>
    <s v="Online"/>
    <s v="West-Charlie"/>
  </r>
  <r>
    <n v="1013"/>
    <d v="2023-10-21T00:00:00"/>
    <x v="1"/>
    <x v="3"/>
    <n v="5039.07"/>
    <n v="20"/>
    <x v="3"/>
    <n v="1533.36"/>
    <n v="1649.74"/>
    <s v="Returning"/>
    <n v="0.1"/>
    <s v="Bank Transfer"/>
    <s v="Online"/>
    <s v="East-David"/>
  </r>
  <r>
    <n v="1032"/>
    <d v="2023-06-08T00:00:00"/>
    <x v="3"/>
    <x v="1"/>
    <n v="219.82"/>
    <n v="49"/>
    <x v="3"/>
    <n v="4812.41"/>
    <n v="5088"/>
    <s v="Returning"/>
    <n v="0.09"/>
    <s v="Credit Card"/>
    <s v="Online"/>
    <s v="West-Eve"/>
  </r>
  <r>
    <n v="1071"/>
    <d v="2023-10-30T00:00:00"/>
    <x v="4"/>
    <x v="1"/>
    <n v="189.48"/>
    <n v="22"/>
    <x v="3"/>
    <n v="2701.39"/>
    <n v="3185.81"/>
    <s v="New"/>
    <n v="0.01"/>
    <s v="Bank Transfer"/>
    <s v="Online"/>
    <s v="West-Alice"/>
  </r>
  <r>
    <n v="1059"/>
    <d v="2023-08-16T00:00:00"/>
    <x v="4"/>
    <x v="1"/>
    <n v="3634.59"/>
    <n v="21"/>
    <x v="2"/>
    <n v="3110.54"/>
    <n v="3192.99"/>
    <s v="New"/>
    <n v="0.17"/>
    <s v="Credit Card"/>
    <s v="Online"/>
    <s v="West-Alice"/>
  </r>
  <r>
    <n v="1086"/>
    <d v="2023-12-31T00:00:00"/>
    <x v="4"/>
    <x v="2"/>
    <n v="9269.32"/>
    <n v="33"/>
    <x v="2"/>
    <n v="3419.33"/>
    <n v="3890.36"/>
    <s v="Returning"/>
    <n v="0.21"/>
    <s v="Cash"/>
    <s v="Retail"/>
    <s v="South-Alice"/>
  </r>
  <r>
    <n v="1028"/>
    <d v="2023-08-04T00:00:00"/>
    <x v="4"/>
    <x v="0"/>
    <n v="2363.9"/>
    <n v="38"/>
    <x v="2"/>
    <n v="3350.32"/>
    <n v="3449.94"/>
    <s v="New"/>
    <n v="0.26"/>
    <s v="Cash"/>
    <s v="Online"/>
    <s v="North-Alice"/>
  </r>
  <r>
    <n v="1066"/>
    <d v="2023-07-03T00:00:00"/>
    <x v="2"/>
    <x v="0"/>
    <n v="6380.2"/>
    <n v="15"/>
    <x v="0"/>
    <n v="2579.31"/>
    <n v="2867.36"/>
    <s v="Returning"/>
    <n v="0.04"/>
    <s v="Bank Transfer"/>
    <s v="Retail"/>
    <s v="North-Charlie"/>
  </r>
  <r>
    <n v="1042"/>
    <d v="2023-01-15T00:00:00"/>
    <x v="1"/>
    <x v="2"/>
    <n v="2298.5500000000002"/>
    <n v="46"/>
    <x v="0"/>
    <n v="2172.38"/>
    <n v="2367.11"/>
    <s v="New"/>
    <n v="0.16"/>
    <s v="Cash"/>
    <s v="Retail"/>
    <s v="South-David"/>
  </r>
  <r>
    <n v="1045"/>
    <d v="2023-06-06T00:00:00"/>
    <x v="0"/>
    <x v="2"/>
    <n v="3284.53"/>
    <n v="15"/>
    <x v="3"/>
    <n v="316.22000000000003"/>
    <n v="799.04"/>
    <s v="New"/>
    <n v="0"/>
    <s v="Bank Transfer"/>
    <s v="Online"/>
    <s v="South-Bob"/>
  </r>
  <r>
    <n v="1062"/>
    <d v="2023-05-16T00:00:00"/>
    <x v="2"/>
    <x v="0"/>
    <n v="8495.6200000000008"/>
    <n v="46"/>
    <x v="0"/>
    <n v="159.32"/>
    <n v="303.36"/>
    <s v="New"/>
    <n v="0.03"/>
    <s v="Cash"/>
    <s v="Retail"/>
    <s v="North-Charlie"/>
  </r>
  <r>
    <n v="1057"/>
    <d v="2023-09-18T00:00:00"/>
    <x v="2"/>
    <x v="1"/>
    <n v="7315.73"/>
    <n v="25"/>
    <x v="1"/>
    <n v="1821.91"/>
    <n v="2027.74"/>
    <s v="New"/>
    <n v="0.02"/>
    <s v="Bank Transfer"/>
    <s v="Retail"/>
    <s v="West-Charlie"/>
  </r>
  <r>
    <n v="1006"/>
    <d v="2023-06-06T00:00:00"/>
    <x v="0"/>
    <x v="3"/>
    <n v="1044.45"/>
    <n v="21"/>
    <x v="3"/>
    <n v="1701.62"/>
    <n v="2193.2199999999998"/>
    <s v="New"/>
    <n v="0.22"/>
    <s v="Bank Transfer"/>
    <s v="Retail"/>
    <s v="East-Bob"/>
  </r>
  <r>
    <n v="1028"/>
    <d v="2023-02-16T00:00:00"/>
    <x v="0"/>
    <x v="3"/>
    <n v="4344.1499999999996"/>
    <n v="24"/>
    <x v="3"/>
    <n v="1969.09"/>
    <n v="2241.96"/>
    <s v="Returning"/>
    <n v="0.02"/>
    <s v="Credit Card"/>
    <s v="Online"/>
    <s v="East-Bob"/>
  </r>
  <r>
    <n v="1028"/>
    <d v="2023-11-20T00:00:00"/>
    <x v="4"/>
    <x v="3"/>
    <n v="388.78"/>
    <n v="5"/>
    <x v="1"/>
    <n v="734.92"/>
    <n v="991.21"/>
    <s v="Returning"/>
    <n v="0.21"/>
    <s v="Credit Card"/>
    <s v="Online"/>
    <s v="East-Alice"/>
  </r>
  <r>
    <n v="1044"/>
    <d v="2023-11-28T00:00:00"/>
    <x v="2"/>
    <x v="1"/>
    <n v="4860.8100000000004"/>
    <n v="6"/>
    <x v="3"/>
    <n v="3703.93"/>
    <n v="3840.24"/>
    <s v="New"/>
    <n v="7.0000000000000007E-2"/>
    <s v="Credit Card"/>
    <s v="Online"/>
    <s v="West-Charlie"/>
  </r>
  <r>
    <n v="1084"/>
    <d v="2023-06-22T00:00:00"/>
    <x v="3"/>
    <x v="0"/>
    <n v="6658.1"/>
    <n v="49"/>
    <x v="0"/>
    <n v="4291.97"/>
    <n v="4645.6400000000003"/>
    <s v="Returning"/>
    <n v="0.26"/>
    <s v="Credit Card"/>
    <s v="Online"/>
    <s v="North-Eve"/>
  </r>
  <r>
    <n v="1030"/>
    <d v="2023-05-10T00:00:00"/>
    <x v="0"/>
    <x v="2"/>
    <n v="1273.18"/>
    <n v="43"/>
    <x v="2"/>
    <n v="4696.6400000000003"/>
    <n v="4713.68"/>
    <s v="Returning"/>
    <n v="0.24"/>
    <s v="Bank Transfer"/>
    <s v="Online"/>
    <s v="South-Bob"/>
  </r>
  <r>
    <n v="1062"/>
    <d v="2023-04-05T00:00:00"/>
    <x v="0"/>
    <x v="0"/>
    <n v="2959.96"/>
    <n v="48"/>
    <x v="1"/>
    <n v="2487.19"/>
    <n v="2521.4499999999998"/>
    <s v="New"/>
    <n v="0.28999999999999998"/>
    <s v="Cash"/>
    <s v="Online"/>
    <s v="North-Bob"/>
  </r>
  <r>
    <n v="1075"/>
    <d v="2023-04-25T00:00:00"/>
    <x v="1"/>
    <x v="1"/>
    <n v="4038.58"/>
    <n v="44"/>
    <x v="0"/>
    <n v="3519.29"/>
    <n v="3822.98"/>
    <s v="Returning"/>
    <n v="0.27"/>
    <s v="Bank Transfer"/>
    <s v="Online"/>
    <s v="West-David"/>
  </r>
  <r>
    <n v="1092"/>
    <d v="2023-08-31T00:00:00"/>
    <x v="3"/>
    <x v="2"/>
    <n v="9203.36"/>
    <n v="47"/>
    <x v="1"/>
    <n v="4284.9799999999996"/>
    <n v="4462.3999999999996"/>
    <s v="New"/>
    <n v="0.28000000000000003"/>
    <s v="Credit Card"/>
    <s v="Retail"/>
    <s v="South-Eve"/>
  </r>
  <r>
    <n v="1089"/>
    <d v="2023-10-19T00:00:00"/>
    <x v="3"/>
    <x v="1"/>
    <n v="9933.2199999999993"/>
    <n v="23"/>
    <x v="1"/>
    <n v="2120.54"/>
    <n v="2597.67"/>
    <s v="Returning"/>
    <n v="0.26"/>
    <s v="Credit Card"/>
    <s v="Retail"/>
    <s v="West-Eve"/>
  </r>
  <r>
    <n v="1062"/>
    <d v="2023-10-09T00:00:00"/>
    <x v="0"/>
    <x v="3"/>
    <n v="544.62"/>
    <n v="4"/>
    <x v="3"/>
    <n v="1581.59"/>
    <n v="2034.15"/>
    <s v="Returning"/>
    <n v="0.21"/>
    <s v="Cash"/>
    <s v="Online"/>
    <s v="East-Bob"/>
  </r>
  <r>
    <n v="1097"/>
    <d v="2023-10-26T00:00:00"/>
    <x v="4"/>
    <x v="3"/>
    <n v="7633.98"/>
    <n v="27"/>
    <x v="3"/>
    <n v="4686.79"/>
    <n v="5046.51"/>
    <s v="Returning"/>
    <n v="0.05"/>
    <s v="Credit Card"/>
    <s v="Retail"/>
    <s v="East-Alice"/>
  </r>
  <r>
    <n v="1001"/>
    <d v="2023-10-10T00:00:00"/>
    <x v="1"/>
    <x v="1"/>
    <n v="3780.07"/>
    <n v="18"/>
    <x v="0"/>
    <n v="2602.6"/>
    <n v="3013.49"/>
    <s v="Returning"/>
    <n v="0.08"/>
    <s v="Bank Transfer"/>
    <s v="Online"/>
    <s v="West-David"/>
  </r>
  <r>
    <n v="1027"/>
    <d v="2023-03-10T00:00:00"/>
    <x v="3"/>
    <x v="2"/>
    <n v="3985.34"/>
    <n v="21"/>
    <x v="1"/>
    <n v="2511.41"/>
    <n v="2848.4"/>
    <s v="Returning"/>
    <n v="0.06"/>
    <s v="Bank Transfer"/>
    <s v="Online"/>
    <s v="South-Eve"/>
  </r>
  <r>
    <n v="1062"/>
    <d v="2023-05-28T00:00:00"/>
    <x v="0"/>
    <x v="2"/>
    <n v="7567.22"/>
    <n v="28"/>
    <x v="3"/>
    <n v="933.16"/>
    <n v="1004.7"/>
    <s v="Returning"/>
    <n v="0.18"/>
    <s v="Bank Transfer"/>
    <s v="Online"/>
    <s v="South-Bob"/>
  </r>
  <r>
    <n v="1077"/>
    <d v="2023-01-11T00:00:00"/>
    <x v="3"/>
    <x v="0"/>
    <n v="9192.42"/>
    <n v="35"/>
    <x v="3"/>
    <n v="585.37"/>
    <n v="970.49"/>
    <s v="Returning"/>
    <n v="0.15"/>
    <s v="Bank Transfer"/>
    <s v="Retail"/>
    <s v="North-Eve"/>
  </r>
  <r>
    <n v="1003"/>
    <d v="2023-09-11T00:00:00"/>
    <x v="1"/>
    <x v="3"/>
    <n v="9514.19"/>
    <n v="22"/>
    <x v="1"/>
    <n v="4218.43"/>
    <n v="4331.42"/>
    <s v="New"/>
    <n v="0.26"/>
    <s v="Bank Transfer"/>
    <s v="Online"/>
    <s v="East-David"/>
  </r>
  <r>
    <n v="1070"/>
    <d v="2023-11-26T00:00:00"/>
    <x v="1"/>
    <x v="0"/>
    <n v="5813.51"/>
    <n v="40"/>
    <x v="0"/>
    <n v="3089.96"/>
    <n v="3258.45"/>
    <s v="New"/>
    <n v="0.28999999999999998"/>
    <s v="Cash"/>
    <s v="Online"/>
    <s v="North-David"/>
  </r>
  <r>
    <n v="1072"/>
    <d v="2023-12-26T00:00:00"/>
    <x v="2"/>
    <x v="0"/>
    <n v="3635.5"/>
    <n v="23"/>
    <x v="0"/>
    <n v="1662.83"/>
    <n v="2074.25"/>
    <s v="New"/>
    <n v="0.12"/>
    <s v="Bank Transfer"/>
    <s v="Online"/>
    <s v="North-Charlie"/>
  </r>
  <r>
    <n v="1027"/>
    <d v="2023-02-07T00:00:00"/>
    <x v="0"/>
    <x v="1"/>
    <n v="7896.74"/>
    <n v="3"/>
    <x v="1"/>
    <n v="999.09"/>
    <n v="1271.99"/>
    <s v="New"/>
    <n v="0.15"/>
    <s v="Credit Card"/>
    <s v="Online"/>
    <s v="West-Bob"/>
  </r>
  <r>
    <n v="1009"/>
    <d v="2023-05-14T00:00:00"/>
    <x v="1"/>
    <x v="1"/>
    <n v="2584.91"/>
    <n v="40"/>
    <x v="0"/>
    <n v="2799.71"/>
    <n v="3231.08"/>
    <s v="Returning"/>
    <n v="0.28999999999999998"/>
    <s v="Credit Card"/>
    <s v="Retail"/>
    <s v="West-David"/>
  </r>
  <r>
    <n v="1062"/>
    <d v="2023-07-19T00:00:00"/>
    <x v="2"/>
    <x v="0"/>
    <n v="5684.33"/>
    <n v="10"/>
    <x v="3"/>
    <n v="2940.4"/>
    <n v="3054.79"/>
    <s v="Returning"/>
    <n v="0.08"/>
    <s v="Credit Card"/>
    <s v="Online"/>
    <s v="North-Charlie"/>
  </r>
  <r>
    <n v="1037"/>
    <d v="2023-01-23T00:00:00"/>
    <x v="2"/>
    <x v="3"/>
    <n v="3649.93"/>
    <n v="25"/>
    <x v="1"/>
    <n v="1074.6199999999999"/>
    <n v="1382.43"/>
    <s v="Returning"/>
    <n v="0.24"/>
    <s v="Credit Card"/>
    <s v="Retail"/>
    <s v="East-Charlie"/>
  </r>
  <r>
    <n v="1097"/>
    <d v="2023-10-30T00:00:00"/>
    <x v="3"/>
    <x v="1"/>
    <n v="6600.65"/>
    <n v="49"/>
    <x v="3"/>
    <n v="4264.46"/>
    <n v="4315.5200000000004"/>
    <s v="New"/>
    <n v="7.0000000000000007E-2"/>
    <s v="Cash"/>
    <s v="Retail"/>
    <s v="West-Eve"/>
  </r>
  <r>
    <n v="1051"/>
    <d v="2023-12-12T00:00:00"/>
    <x v="3"/>
    <x v="0"/>
    <n v="2479.9499999999998"/>
    <n v="8"/>
    <x v="2"/>
    <n v="467.11"/>
    <n v="792.21"/>
    <s v="New"/>
    <n v="0.2"/>
    <s v="Credit Card"/>
    <s v="Online"/>
    <s v="North-Eve"/>
  </r>
  <r>
    <n v="1044"/>
    <d v="2023-10-29T00:00:00"/>
    <x v="2"/>
    <x v="0"/>
    <n v="1996.77"/>
    <n v="11"/>
    <x v="2"/>
    <n v="1812.66"/>
    <n v="2196.3000000000002"/>
    <s v="New"/>
    <n v="0.08"/>
    <s v="Cash"/>
    <s v="Online"/>
    <s v="North-Charlie"/>
  </r>
  <r>
    <n v="1024"/>
    <d v="2023-12-29T00:00:00"/>
    <x v="3"/>
    <x v="0"/>
    <n v="9190.57"/>
    <n v="5"/>
    <x v="0"/>
    <n v="3417.9"/>
    <n v="3714.52"/>
    <s v="Returning"/>
    <n v="0.27"/>
    <s v="Credit Card"/>
    <s v="Retail"/>
    <s v="North-Eve"/>
  </r>
  <r>
    <n v="1079"/>
    <d v="2023-08-06T00:00:00"/>
    <x v="1"/>
    <x v="0"/>
    <n v="1107.8599999999999"/>
    <n v="45"/>
    <x v="2"/>
    <n v="1406.9"/>
    <n v="1547.35"/>
    <s v="New"/>
    <n v="0.17"/>
    <s v="Cash"/>
    <s v="Retail"/>
    <s v="North-David"/>
  </r>
  <r>
    <n v="1059"/>
    <d v="2023-05-21T00:00:00"/>
    <x v="4"/>
    <x v="0"/>
    <n v="5108.9799999999996"/>
    <n v="37"/>
    <x v="3"/>
    <n v="4146.99"/>
    <n v="4172.3500000000004"/>
    <s v="Returning"/>
    <n v="0.06"/>
    <s v="Cash"/>
    <s v="Retail"/>
    <s v="North-Alice"/>
  </r>
  <r>
    <n v="1032"/>
    <d v="2023-04-14T00:00:00"/>
    <x v="1"/>
    <x v="0"/>
    <n v="2286.44"/>
    <n v="45"/>
    <x v="2"/>
    <n v="3712.35"/>
    <n v="3780.88"/>
    <s v="New"/>
    <n v="7.0000000000000007E-2"/>
    <s v="Cash"/>
    <s v="Retail"/>
    <s v="North-David"/>
  </r>
  <r>
    <n v="1096"/>
    <d v="2023-07-29T00:00:00"/>
    <x v="2"/>
    <x v="1"/>
    <n v="485.41"/>
    <n v="38"/>
    <x v="3"/>
    <n v="3955.66"/>
    <n v="4270.59"/>
    <s v="Returning"/>
    <n v="0.15"/>
    <s v="Credit Card"/>
    <s v="Online"/>
    <s v="West-Charlie"/>
  </r>
  <r>
    <n v="1088"/>
    <d v="2023-04-21T00:00:00"/>
    <x v="2"/>
    <x v="3"/>
    <n v="456.59"/>
    <n v="29"/>
    <x v="0"/>
    <n v="639.58000000000004"/>
    <n v="1107.45"/>
    <s v="New"/>
    <n v="0.28999999999999998"/>
    <s v="Cash"/>
    <s v="Retail"/>
    <s v="East-Charlie"/>
  </r>
  <r>
    <n v="1052"/>
    <d v="2023-04-14T00:00:00"/>
    <x v="1"/>
    <x v="0"/>
    <n v="1834.7"/>
    <n v="5"/>
    <x v="0"/>
    <n v="745.71"/>
    <n v="856.91"/>
    <s v="Returning"/>
    <n v="0.23"/>
    <s v="Bank Transfer"/>
    <s v="Retail"/>
    <s v="North-David"/>
  </r>
  <r>
    <n v="1062"/>
    <d v="2023-11-12T00:00:00"/>
    <x v="3"/>
    <x v="2"/>
    <n v="8681.0300000000007"/>
    <n v="9"/>
    <x v="3"/>
    <n v="1468.05"/>
    <n v="1838.21"/>
    <s v="New"/>
    <n v="0.15"/>
    <s v="Bank Transfer"/>
    <s v="Retail"/>
    <s v="South-Eve"/>
  </r>
  <r>
    <n v="1058"/>
    <d v="2023-06-20T00:00:00"/>
    <x v="3"/>
    <x v="1"/>
    <n v="2896.54"/>
    <n v="48"/>
    <x v="2"/>
    <n v="2614.48"/>
    <n v="3049.04"/>
    <s v="New"/>
    <n v="0.1"/>
    <s v="Credit Card"/>
    <s v="Retail"/>
    <s v="West-Eve"/>
  </r>
  <r>
    <n v="1052"/>
    <d v="2023-12-22T00:00:00"/>
    <x v="2"/>
    <x v="1"/>
    <n v="9509.5499999999993"/>
    <n v="2"/>
    <x v="0"/>
    <n v="3752.68"/>
    <n v="4017.91"/>
    <s v="Returning"/>
    <n v="0.16"/>
    <s v="Bank Transfer"/>
    <s v="Online"/>
    <s v="West-Charlie"/>
  </r>
  <r>
    <n v="1012"/>
    <d v="2023-11-20T00:00:00"/>
    <x v="0"/>
    <x v="0"/>
    <n v="5858.06"/>
    <n v="1"/>
    <x v="1"/>
    <n v="4190.83"/>
    <n v="4528.7700000000004"/>
    <s v="Returning"/>
    <n v="0.22"/>
    <s v="Bank Transfer"/>
    <s v="Online"/>
    <s v="North-Bob"/>
  </r>
  <r>
    <n v="1039"/>
    <d v="2023-05-13T00:00:00"/>
    <x v="3"/>
    <x v="1"/>
    <n v="4422.4799999999996"/>
    <n v="40"/>
    <x v="0"/>
    <n v="3536.46"/>
    <n v="3945.82"/>
    <s v="New"/>
    <n v="0.24"/>
    <s v="Bank Transfer"/>
    <s v="Online"/>
    <s v="West-Eve"/>
  </r>
  <r>
    <n v="1002"/>
    <d v="2023-10-20T00:00:00"/>
    <x v="1"/>
    <x v="0"/>
    <n v="5842.88"/>
    <n v="30"/>
    <x v="2"/>
    <n v="4646.55"/>
    <n v="4784.28"/>
    <s v="Returning"/>
    <n v="0.1"/>
    <s v="Credit Card"/>
    <s v="Retail"/>
    <s v="North-David"/>
  </r>
  <r>
    <n v="1003"/>
    <d v="2023-11-24T00:00:00"/>
    <x v="3"/>
    <x v="3"/>
    <n v="5215.3100000000004"/>
    <n v="11"/>
    <x v="1"/>
    <n v="3706.78"/>
    <n v="3862.26"/>
    <s v="New"/>
    <n v="0.22"/>
    <s v="Credit Card"/>
    <s v="Retail"/>
    <s v="East-Eve"/>
  </r>
  <r>
    <n v="1056"/>
    <d v="2023-05-07T00:00:00"/>
    <x v="1"/>
    <x v="3"/>
    <n v="7611.88"/>
    <n v="28"/>
    <x v="2"/>
    <n v="1566.03"/>
    <n v="1576.34"/>
    <s v="Returning"/>
    <n v="0.2"/>
    <s v="Bank Transfer"/>
    <s v="Online"/>
    <s v="East-David"/>
  </r>
  <r>
    <n v="1081"/>
    <d v="2023-04-16T00:00:00"/>
    <x v="2"/>
    <x v="1"/>
    <n v="2896.71"/>
    <n v="44"/>
    <x v="3"/>
    <n v="1362.15"/>
    <n v="1844.07"/>
    <s v="New"/>
    <n v="0.28999999999999998"/>
    <s v="Credit Card"/>
    <s v="Online"/>
    <s v="West-Charlie"/>
  </r>
  <r>
    <n v="1059"/>
    <d v="2023-04-02T00:00:00"/>
    <x v="3"/>
    <x v="1"/>
    <n v="3595.2"/>
    <n v="12"/>
    <x v="1"/>
    <n v="3496.15"/>
    <n v="3955.75"/>
    <s v="Returning"/>
    <n v="0.28000000000000003"/>
    <s v="Cash"/>
    <s v="Retail"/>
    <s v="West-Eve"/>
  </r>
  <r>
    <n v="1002"/>
    <d v="2023-10-14T00:00:00"/>
    <x v="1"/>
    <x v="2"/>
    <n v="8951.5300000000007"/>
    <n v="39"/>
    <x v="2"/>
    <n v="1004.71"/>
    <n v="1389.35"/>
    <s v="New"/>
    <n v="0.24"/>
    <s v="Bank Transfer"/>
    <s v="Online"/>
    <s v="South-David"/>
  </r>
  <r>
    <n v="1002"/>
    <d v="2023-02-20T00:00:00"/>
    <x v="2"/>
    <x v="1"/>
    <n v="9469.92"/>
    <n v="26"/>
    <x v="1"/>
    <n v="508.94"/>
    <n v="557.69000000000005"/>
    <s v="New"/>
    <n v="0.22"/>
    <s v="Credit Card"/>
    <s v="Retail"/>
    <s v="West-Charlie"/>
  </r>
  <r>
    <n v="1092"/>
    <d v="2023-01-29T00:00:00"/>
    <x v="0"/>
    <x v="2"/>
    <n v="8936.33"/>
    <n v="13"/>
    <x v="2"/>
    <n v="2684.5"/>
    <n v="2913.78"/>
    <s v="New"/>
    <n v="0.08"/>
    <s v="Credit Card"/>
    <s v="Retail"/>
    <s v="South-Bob"/>
  </r>
  <r>
    <n v="1054"/>
    <d v="2023-10-23T00:00:00"/>
    <x v="1"/>
    <x v="3"/>
    <n v="4252.54"/>
    <n v="8"/>
    <x v="1"/>
    <n v="4117.13"/>
    <n v="4177.0600000000004"/>
    <s v="Returning"/>
    <n v="0.25"/>
    <s v="Bank Transfer"/>
    <s v="Retail"/>
    <s v="East-David"/>
  </r>
  <r>
    <n v="1087"/>
    <d v="2023-10-24T00:00:00"/>
    <x v="0"/>
    <x v="3"/>
    <n v="7825.62"/>
    <n v="28"/>
    <x v="2"/>
    <n v="551.83000000000004"/>
    <n v="569.63"/>
    <s v="New"/>
    <n v="0.13"/>
    <s v="Credit Card"/>
    <s v="Retail"/>
    <s v="East-Bob"/>
  </r>
  <r>
    <n v="1096"/>
    <d v="2023-08-02T00:00:00"/>
    <x v="0"/>
    <x v="0"/>
    <n v="4815.72"/>
    <n v="30"/>
    <x v="3"/>
    <n v="3969.86"/>
    <n v="4281.79"/>
    <s v="Returning"/>
    <n v="0.08"/>
    <s v="Bank Transfer"/>
    <s v="Retail"/>
    <s v="North-Bob"/>
  </r>
  <r>
    <n v="1097"/>
    <d v="2023-09-24T00:00:00"/>
    <x v="4"/>
    <x v="3"/>
    <n v="5025.6400000000003"/>
    <n v="9"/>
    <x v="1"/>
    <n v="4067.28"/>
    <n v="4548.09"/>
    <s v="Returning"/>
    <n v="0.12"/>
    <s v="Credit Card"/>
    <s v="Retail"/>
    <s v="East-Alice"/>
  </r>
  <r>
    <n v="1001"/>
    <d v="2023-09-14T00:00:00"/>
    <x v="3"/>
    <x v="2"/>
    <n v="2126.33"/>
    <n v="39"/>
    <x v="1"/>
    <n v="2437.2600000000002"/>
    <n v="2889.67"/>
    <s v="Returning"/>
    <n v="0.25"/>
    <s v="Cash"/>
    <s v="Online"/>
    <s v="South-Eve"/>
  </r>
  <r>
    <n v="1019"/>
    <d v="2023-10-29T00:00:00"/>
    <x v="1"/>
    <x v="1"/>
    <n v="5952.19"/>
    <n v="31"/>
    <x v="1"/>
    <n v="333.69"/>
    <n v="685.1"/>
    <s v="New"/>
    <n v="0.04"/>
    <s v="Bank Transfer"/>
    <s v="Online"/>
    <s v="West-David"/>
  </r>
  <r>
    <n v="1002"/>
    <d v="2023-04-11T00:00:00"/>
    <x v="0"/>
    <x v="0"/>
    <n v="1942.75"/>
    <n v="21"/>
    <x v="1"/>
    <n v="914.22"/>
    <n v="971.57"/>
    <s v="Returning"/>
    <n v="0.14000000000000001"/>
    <s v="Cash"/>
    <s v="Online"/>
    <s v="North-Bob"/>
  </r>
  <r>
    <n v="1053"/>
    <d v="2023-12-12T00:00:00"/>
    <x v="4"/>
    <x v="2"/>
    <n v="3382.49"/>
    <n v="47"/>
    <x v="3"/>
    <n v="3551.76"/>
    <n v="3696.1"/>
    <s v="Returning"/>
    <n v="0.15"/>
    <s v="Bank Transfer"/>
    <s v="Retail"/>
    <s v="South-Alice"/>
  </r>
  <r>
    <n v="1044"/>
    <d v="2023-04-20T00:00:00"/>
    <x v="2"/>
    <x v="1"/>
    <n v="8564.7999999999993"/>
    <n v="34"/>
    <x v="1"/>
    <n v="3573.3"/>
    <n v="3740.13"/>
    <s v="Returning"/>
    <n v="0.01"/>
    <s v="Credit Card"/>
    <s v="Online"/>
    <s v="West-Charlie"/>
  </r>
  <r>
    <n v="1090"/>
    <d v="2023-07-01T00:00:00"/>
    <x v="1"/>
    <x v="0"/>
    <n v="2150.0500000000002"/>
    <n v="31"/>
    <x v="0"/>
    <n v="4496.8599999999997"/>
    <n v="4880.8"/>
    <s v="New"/>
    <n v="0.06"/>
    <s v="Cash"/>
    <s v="Retail"/>
    <s v="North-David"/>
  </r>
  <r>
    <n v="1032"/>
    <d v="2023-11-09T00:00:00"/>
    <x v="0"/>
    <x v="3"/>
    <n v="804.47"/>
    <n v="25"/>
    <x v="3"/>
    <n v="2934.3"/>
    <n v="3337.4"/>
    <s v="Returning"/>
    <n v="0.25"/>
    <s v="Credit Card"/>
    <s v="Retail"/>
    <s v="East-Bob"/>
  </r>
  <r>
    <n v="1070"/>
    <d v="2023-01-01T00:00:00"/>
    <x v="3"/>
    <x v="2"/>
    <n v="783.18"/>
    <n v="12"/>
    <x v="0"/>
    <n v="664.33"/>
    <n v="863.03"/>
    <s v="Returning"/>
    <n v="0.25"/>
    <s v="Bank Transfer"/>
    <s v="Retail"/>
    <s v="South-Eve"/>
  </r>
  <r>
    <n v="1032"/>
    <d v="2023-11-15T00:00:00"/>
    <x v="4"/>
    <x v="1"/>
    <n v="9413.77"/>
    <n v="1"/>
    <x v="1"/>
    <n v="651"/>
    <n v="865.76"/>
    <s v="Returning"/>
    <n v="0.09"/>
    <s v="Bank Transfer"/>
    <s v="Retail"/>
    <s v="West-Alice"/>
  </r>
  <r>
    <n v="1068"/>
    <d v="2023-02-24T00:00:00"/>
    <x v="0"/>
    <x v="0"/>
    <n v="5118.51"/>
    <n v="22"/>
    <x v="2"/>
    <n v="3619.61"/>
    <n v="3651.42"/>
    <s v="Returning"/>
    <n v="0.26"/>
    <s v="Bank Transfer"/>
    <s v="Online"/>
    <s v="North-Bob"/>
  </r>
  <r>
    <n v="1055"/>
    <d v="2023-05-29T00:00:00"/>
    <x v="3"/>
    <x v="0"/>
    <n v="4153.18"/>
    <n v="40"/>
    <x v="0"/>
    <n v="959.73"/>
    <n v="1111.4100000000001"/>
    <s v="New"/>
    <n v="0.23"/>
    <s v="Bank Transfer"/>
    <s v="Online"/>
    <s v="North-Eve"/>
  </r>
  <r>
    <n v="1075"/>
    <d v="2023-11-05T00:00:00"/>
    <x v="0"/>
    <x v="3"/>
    <n v="8127.7"/>
    <n v="37"/>
    <x v="1"/>
    <n v="1675.51"/>
    <n v="1906.64"/>
    <s v="New"/>
    <n v="0.13"/>
    <s v="Bank Transfer"/>
    <s v="Online"/>
    <s v="East-Bob"/>
  </r>
  <r>
    <n v="1056"/>
    <d v="2023-05-17T00:00:00"/>
    <x v="1"/>
    <x v="1"/>
    <n v="8374.68"/>
    <n v="47"/>
    <x v="0"/>
    <n v="2461.6999999999998"/>
    <n v="2529.02"/>
    <s v="Returning"/>
    <n v="0.22"/>
    <s v="Cash"/>
    <s v="Retail"/>
    <s v="West-David"/>
  </r>
  <r>
    <n v="1017"/>
    <d v="2023-07-21T00:00:00"/>
    <x v="1"/>
    <x v="3"/>
    <n v="3388.69"/>
    <n v="1"/>
    <x v="1"/>
    <n v="172.59"/>
    <n v="404.69"/>
    <s v="Returning"/>
    <n v="0.28999999999999998"/>
    <s v="Bank Transfer"/>
    <s v="Online"/>
    <s v="East-David"/>
  </r>
  <r>
    <n v="1038"/>
    <d v="2023-11-09T00:00:00"/>
    <x v="1"/>
    <x v="3"/>
    <n v="6966.82"/>
    <n v="1"/>
    <x v="1"/>
    <n v="1281.6500000000001"/>
    <n v="1709.71"/>
    <s v="Returning"/>
    <n v="0.14000000000000001"/>
    <s v="Credit Card"/>
    <s v="Online"/>
    <s v="East-David"/>
  </r>
  <r>
    <n v="1024"/>
    <d v="2023-04-27T00:00:00"/>
    <x v="4"/>
    <x v="1"/>
    <n v="7734.12"/>
    <n v="42"/>
    <x v="1"/>
    <n v="2069.0500000000002"/>
    <n v="2363.9"/>
    <s v="Returning"/>
    <n v="7.0000000000000007E-2"/>
    <s v="Cash"/>
    <s v="Online"/>
    <s v="West-Alice"/>
  </r>
  <r>
    <n v="1069"/>
    <d v="2023-06-03T00:00:00"/>
    <x v="1"/>
    <x v="1"/>
    <n v="6581.04"/>
    <n v="42"/>
    <x v="2"/>
    <n v="1434.2"/>
    <n v="1482.88"/>
    <s v="New"/>
    <n v="0.28000000000000003"/>
    <s v="Credit Card"/>
    <s v="Retail"/>
    <s v="West-David"/>
  </r>
  <r>
    <n v="1098"/>
    <d v="2023-10-18T00:00:00"/>
    <x v="3"/>
    <x v="1"/>
    <n v="1600.79"/>
    <n v="21"/>
    <x v="0"/>
    <n v="725.03"/>
    <n v="828.95"/>
    <s v="New"/>
    <n v="0.18"/>
    <s v="Bank Transfer"/>
    <s v="Online"/>
    <s v="West-Eve"/>
  </r>
  <r>
    <n v="1070"/>
    <d v="2023-03-04T00:00:00"/>
    <x v="0"/>
    <x v="2"/>
    <n v="8771.24"/>
    <n v="15"/>
    <x v="3"/>
    <n v="3653.66"/>
    <n v="3896.19"/>
    <s v="New"/>
    <n v="0.03"/>
    <s v="Credit Card"/>
    <s v="Retail"/>
    <s v="South-Bob"/>
  </r>
  <r>
    <n v="1086"/>
    <d v="2023-09-01T00:00:00"/>
    <x v="2"/>
    <x v="1"/>
    <n v="5437.04"/>
    <n v="17"/>
    <x v="3"/>
    <n v="4075.08"/>
    <n v="4262.21"/>
    <s v="New"/>
    <n v="0.17"/>
    <s v="Cash"/>
    <s v="Online"/>
    <s v="West-Charlie"/>
  </r>
  <r>
    <n v="1011"/>
    <d v="2023-01-25T00:00:00"/>
    <x v="3"/>
    <x v="0"/>
    <n v="2896.48"/>
    <n v="22"/>
    <x v="3"/>
    <n v="1324.52"/>
    <n v="1510.3"/>
    <s v="Returning"/>
    <n v="0.15"/>
    <s v="Cash"/>
    <s v="Retail"/>
    <s v="North-Eve"/>
  </r>
  <r>
    <n v="1016"/>
    <d v="2023-03-31T00:00:00"/>
    <x v="3"/>
    <x v="3"/>
    <n v="4309.76"/>
    <n v="38"/>
    <x v="3"/>
    <n v="3883.38"/>
    <n v="4152.72"/>
    <s v="Returning"/>
    <n v="0.26"/>
    <s v="Cash"/>
    <s v="Online"/>
    <s v="East-Eve"/>
  </r>
  <r>
    <n v="1097"/>
    <d v="2023-03-16T00:00:00"/>
    <x v="1"/>
    <x v="2"/>
    <n v="471.95"/>
    <n v="35"/>
    <x v="1"/>
    <n v="1958.49"/>
    <n v="2254.84"/>
    <s v="New"/>
    <n v="0.16"/>
    <s v="Credit Card"/>
    <s v="Online"/>
    <s v="South-David"/>
  </r>
  <r>
    <n v="1073"/>
    <d v="2023-10-21T00:00:00"/>
    <x v="4"/>
    <x v="1"/>
    <n v="1365.88"/>
    <n v="45"/>
    <x v="0"/>
    <n v="2558.09"/>
    <n v="2958.55"/>
    <s v="New"/>
    <n v="0.08"/>
    <s v="Cash"/>
    <s v="Online"/>
    <s v="West-Alice"/>
  </r>
  <r>
    <n v="1059"/>
    <d v="2023-07-29T00:00:00"/>
    <x v="0"/>
    <x v="2"/>
    <n v="7678.91"/>
    <n v="16"/>
    <x v="0"/>
    <n v="4287.21"/>
    <n v="4464.28"/>
    <s v="Returning"/>
    <n v="0.2"/>
    <s v="Credit Card"/>
    <s v="Retail"/>
    <s v="South-Bob"/>
  </r>
  <r>
    <n v="1070"/>
    <d v="2023-12-13T00:00:00"/>
    <x v="4"/>
    <x v="1"/>
    <n v="100.12"/>
    <n v="8"/>
    <x v="2"/>
    <n v="3762.27"/>
    <n v="4166.95"/>
    <s v="Returning"/>
    <n v="0.16"/>
    <s v="Bank Transfer"/>
    <s v="Online"/>
    <s v="West-Alice"/>
  </r>
  <r>
    <n v="1080"/>
    <d v="2023-01-17T00:00:00"/>
    <x v="0"/>
    <x v="2"/>
    <n v="4224"/>
    <n v="47"/>
    <x v="0"/>
    <n v="4035.33"/>
    <n v="4211.25"/>
    <s v="Returning"/>
    <n v="7.0000000000000007E-2"/>
    <s v="Bank Transfer"/>
    <s v="Online"/>
    <s v="South-Bob"/>
  </r>
  <r>
    <n v="1093"/>
    <d v="2023-05-08T00:00:00"/>
    <x v="0"/>
    <x v="3"/>
    <n v="5272.85"/>
    <n v="17"/>
    <x v="0"/>
    <n v="727.38"/>
    <n v="764.54"/>
    <s v="Returning"/>
    <n v="0.17"/>
    <s v="Credit Card"/>
    <s v="Retail"/>
    <s v="East-Bob"/>
  </r>
  <r>
    <n v="1003"/>
    <d v="2023-12-30T00:00:00"/>
    <x v="4"/>
    <x v="3"/>
    <n v="640.88"/>
    <n v="17"/>
    <x v="0"/>
    <n v="395.11"/>
    <n v="676.66"/>
    <s v="Returning"/>
    <n v="0.25"/>
    <s v="Cash"/>
    <s v="Retail"/>
    <s v="East-Alice"/>
  </r>
  <r>
    <n v="1020"/>
    <d v="2023-09-08T00:00:00"/>
    <x v="3"/>
    <x v="0"/>
    <n v="9733.4699999999993"/>
    <n v="26"/>
    <x v="2"/>
    <n v="4472.3500000000004"/>
    <n v="4770.42"/>
    <s v="New"/>
    <n v="0.01"/>
    <s v="Credit Card"/>
    <s v="Retail"/>
    <s v="North-Eve"/>
  </r>
  <r>
    <n v="1059"/>
    <d v="2023-06-28T00:00:00"/>
    <x v="0"/>
    <x v="0"/>
    <n v="2338.64"/>
    <n v="13"/>
    <x v="3"/>
    <n v="1969.78"/>
    <n v="2437.6999999999998"/>
    <s v="New"/>
    <n v="0.19"/>
    <s v="Credit Card"/>
    <s v="Retail"/>
    <s v="North-Bob"/>
  </r>
  <r>
    <n v="1036"/>
    <d v="2023-07-01T00:00:00"/>
    <x v="4"/>
    <x v="1"/>
    <n v="3111.57"/>
    <n v="17"/>
    <x v="0"/>
    <n v="1475"/>
    <n v="1840.77"/>
    <s v="Returning"/>
    <n v="0.1"/>
    <s v="Credit Card"/>
    <s v="Online"/>
    <s v="West-Alice"/>
  </r>
  <r>
    <n v="1019"/>
    <d v="2023-06-01T00:00:00"/>
    <x v="0"/>
    <x v="3"/>
    <n v="3109.03"/>
    <n v="38"/>
    <x v="2"/>
    <n v="3637.25"/>
    <n v="4096.96"/>
    <s v="Returning"/>
    <n v="0.09"/>
    <s v="Bank Transfer"/>
    <s v="Online"/>
    <s v="East-Bob"/>
  </r>
  <r>
    <n v="1090"/>
    <d v="2023-01-25T00:00:00"/>
    <x v="2"/>
    <x v="2"/>
    <n v="2381.12"/>
    <n v="17"/>
    <x v="2"/>
    <n v="4190.26"/>
    <n v="4645.3500000000004"/>
    <s v="New"/>
    <n v="0.12"/>
    <s v="Credit Card"/>
    <s v="Retail"/>
    <s v="South-Charlie"/>
  </r>
  <r>
    <n v="1067"/>
    <d v="2023-06-29T00:00:00"/>
    <x v="3"/>
    <x v="2"/>
    <n v="114.59"/>
    <n v="48"/>
    <x v="1"/>
    <n v="4319.32"/>
    <n v="4625.5600000000004"/>
    <s v="Returning"/>
    <n v="0.1"/>
    <s v="Bank Transfer"/>
    <s v="Online"/>
    <s v="South-Eve"/>
  </r>
  <r>
    <n v="1019"/>
    <d v="2023-07-17T00:00:00"/>
    <x v="1"/>
    <x v="2"/>
    <n v="7320.51"/>
    <n v="14"/>
    <x v="2"/>
    <n v="1614.19"/>
    <n v="1882.79"/>
    <s v="New"/>
    <n v="0.25"/>
    <s v="Credit Card"/>
    <s v="Retail"/>
    <s v="South-David"/>
  </r>
  <r>
    <n v="1020"/>
    <d v="2023-12-10T00:00:00"/>
    <x v="0"/>
    <x v="0"/>
    <n v="9671.77"/>
    <n v="45"/>
    <x v="3"/>
    <n v="4268.45"/>
    <n v="4551.6000000000004"/>
    <s v="New"/>
    <n v="0.08"/>
    <s v="Bank Transfer"/>
    <s v="Online"/>
    <s v="North-Bob"/>
  </r>
  <r>
    <n v="1096"/>
    <d v="2023-06-10T00:00:00"/>
    <x v="2"/>
    <x v="2"/>
    <n v="2320.5100000000002"/>
    <n v="6"/>
    <x v="0"/>
    <n v="252.62"/>
    <n v="742"/>
    <s v="New"/>
    <n v="0.22"/>
    <s v="Credit Card"/>
    <s v="Retail"/>
    <s v="South-Charlie"/>
  </r>
  <r>
    <n v="1071"/>
    <d v="2023-06-26T00:00:00"/>
    <x v="1"/>
    <x v="0"/>
    <n v="6664.17"/>
    <n v="35"/>
    <x v="2"/>
    <n v="295.82"/>
    <n v="684.67"/>
    <s v="New"/>
    <n v="0.03"/>
    <s v="Credit Card"/>
    <s v="Online"/>
    <s v="North-David"/>
  </r>
  <r>
    <n v="1052"/>
    <d v="2023-10-12T00:00:00"/>
    <x v="1"/>
    <x v="0"/>
    <n v="7444.77"/>
    <n v="46"/>
    <x v="3"/>
    <n v="3136.42"/>
    <n v="3198.49"/>
    <s v="Returning"/>
    <n v="0.28999999999999998"/>
    <s v="Cash"/>
    <s v="Retail"/>
    <s v="North-David"/>
  </r>
  <r>
    <n v="1033"/>
    <d v="2023-03-04T00:00:00"/>
    <x v="0"/>
    <x v="1"/>
    <n v="8499.41"/>
    <n v="14"/>
    <x v="2"/>
    <n v="362.38"/>
    <n v="753.81"/>
    <s v="Returning"/>
    <n v="0.19"/>
    <s v="Cash"/>
    <s v="Retail"/>
    <s v="West-Bob"/>
  </r>
  <r>
    <n v="1040"/>
    <d v="2023-05-30T00:00:00"/>
    <x v="4"/>
    <x v="2"/>
    <n v="4284.03"/>
    <n v="47"/>
    <x v="2"/>
    <n v="1656.82"/>
    <n v="1750.38"/>
    <s v="New"/>
    <n v="0.21"/>
    <s v="Credit Card"/>
    <s v="Online"/>
    <s v="South-Alice"/>
  </r>
  <r>
    <n v="1039"/>
    <d v="2023-06-03T00:00:00"/>
    <x v="0"/>
    <x v="2"/>
    <n v="3099.02"/>
    <n v="8"/>
    <x v="2"/>
    <n v="3380.14"/>
    <n v="3609.34"/>
    <s v="Returning"/>
    <n v="0.09"/>
    <s v="Credit Card"/>
    <s v="Online"/>
    <s v="South-Bob"/>
  </r>
  <r>
    <n v="1082"/>
    <d v="2023-06-05T00:00:00"/>
    <x v="2"/>
    <x v="3"/>
    <n v="3320.42"/>
    <n v="15"/>
    <x v="2"/>
    <n v="1719.47"/>
    <n v="1832.6"/>
    <s v="Returning"/>
    <n v="0.12"/>
    <s v="Credit Card"/>
    <s v="Online"/>
    <s v="East-Charlie"/>
  </r>
  <r>
    <n v="1001"/>
    <d v="2023-02-18T00:00:00"/>
    <x v="1"/>
    <x v="1"/>
    <n v="7154.95"/>
    <n v="27"/>
    <x v="2"/>
    <n v="939.02"/>
    <n v="1286.92"/>
    <s v="Returning"/>
    <n v="7.0000000000000007E-2"/>
    <s v="Credit Card"/>
    <s v="Retail"/>
    <s v="West-David"/>
  </r>
  <r>
    <n v="1011"/>
    <d v="2023-12-03T00:00:00"/>
    <x v="0"/>
    <x v="3"/>
    <n v="8186.12"/>
    <n v="13"/>
    <x v="3"/>
    <n v="1442.69"/>
    <n v="1882.57"/>
    <s v="Returning"/>
    <n v="0.28000000000000003"/>
    <s v="Cash"/>
    <s v="Online"/>
    <s v="East-Bob"/>
  </r>
  <r>
    <n v="1092"/>
    <d v="2023-03-25T00:00:00"/>
    <x v="4"/>
    <x v="1"/>
    <n v="1897.98"/>
    <n v="49"/>
    <x v="0"/>
    <n v="2315"/>
    <n v="2467.2800000000002"/>
    <s v="New"/>
    <n v="0.15"/>
    <s v="Bank Transfer"/>
    <s v="Retail"/>
    <s v="West-Alice"/>
  </r>
  <r>
    <n v="1057"/>
    <d v="2023-12-27T00:00:00"/>
    <x v="0"/>
    <x v="2"/>
    <n v="3772.32"/>
    <n v="31"/>
    <x v="0"/>
    <n v="2403.16"/>
    <n v="2453.35"/>
    <s v="Returning"/>
    <n v="0.19"/>
    <s v="Credit Card"/>
    <s v="Online"/>
    <s v="South-Bob"/>
  </r>
  <r>
    <n v="1089"/>
    <d v="2023-06-26T00:00:00"/>
    <x v="3"/>
    <x v="0"/>
    <n v="9029.2099999999991"/>
    <n v="35"/>
    <x v="0"/>
    <n v="3925.85"/>
    <n v="4082.11"/>
    <s v="New"/>
    <n v="0.22"/>
    <s v="Cash"/>
    <s v="Online"/>
    <s v="North-Eve"/>
  </r>
  <r>
    <n v="1050"/>
    <d v="2023-05-28T00:00:00"/>
    <x v="4"/>
    <x v="0"/>
    <n v="8086.27"/>
    <n v="6"/>
    <x v="0"/>
    <n v="3763.26"/>
    <n v="4102.72"/>
    <s v="New"/>
    <n v="0.11"/>
    <s v="Credit Card"/>
    <s v="Retail"/>
    <s v="North-Alice"/>
  </r>
  <r>
    <n v="1023"/>
    <d v="2023-04-28T00:00:00"/>
    <x v="2"/>
    <x v="0"/>
    <n v="9850.1"/>
    <n v="5"/>
    <x v="3"/>
    <n v="2311.25"/>
    <n v="2482.34"/>
    <s v="Returning"/>
    <n v="0.22"/>
    <s v="Credit Card"/>
    <s v="Retail"/>
    <s v="North-Charlie"/>
  </r>
  <r>
    <n v="1031"/>
    <d v="2023-12-08T00:00:00"/>
    <x v="1"/>
    <x v="0"/>
    <n v="7567.06"/>
    <n v="22"/>
    <x v="1"/>
    <n v="4236.05"/>
    <n v="4382.32"/>
    <s v="New"/>
    <n v="0.2"/>
    <s v="Bank Transfer"/>
    <s v="Online"/>
    <s v="North-David"/>
  </r>
  <r>
    <n v="1094"/>
    <d v="2023-03-04T00:00:00"/>
    <x v="0"/>
    <x v="0"/>
    <n v="3992.63"/>
    <n v="49"/>
    <x v="1"/>
    <n v="615.47"/>
    <n v="715.84"/>
    <s v="Returning"/>
    <n v="0.21"/>
    <s v="Credit Card"/>
    <s v="Retail"/>
    <s v="North-Bob"/>
  </r>
  <r>
    <n v="1042"/>
    <d v="2023-07-08T00:00:00"/>
    <x v="4"/>
    <x v="3"/>
    <n v="5947.31"/>
    <n v="23"/>
    <x v="3"/>
    <n v="1314"/>
    <n v="1567.78"/>
    <s v="Returning"/>
    <n v="0.15"/>
    <s v="Credit Card"/>
    <s v="Retail"/>
    <s v="East-Alice"/>
  </r>
  <r>
    <n v="1099"/>
    <d v="2023-12-26T00:00:00"/>
    <x v="3"/>
    <x v="1"/>
    <n v="6644.04"/>
    <n v="25"/>
    <x v="3"/>
    <n v="4148.4799999999996"/>
    <n v="4293.6899999999996"/>
    <s v="New"/>
    <n v="0.11"/>
    <s v="Bank Transfer"/>
    <s v="Online"/>
    <s v="West-Eve"/>
  </r>
  <r>
    <n v="1007"/>
    <d v="2023-02-18T00:00:00"/>
    <x v="4"/>
    <x v="2"/>
    <n v="876.71"/>
    <n v="34"/>
    <x v="2"/>
    <n v="1921.07"/>
    <n v="2289.27"/>
    <s v="Returning"/>
    <n v="7.0000000000000007E-2"/>
    <s v="Bank Transfer"/>
    <s v="Retail"/>
    <s v="South-Alice"/>
  </r>
  <r>
    <n v="1016"/>
    <d v="2023-11-23T00:00:00"/>
    <x v="3"/>
    <x v="3"/>
    <n v="5490.52"/>
    <n v="26"/>
    <x v="2"/>
    <n v="4906.8500000000004"/>
    <n v="4954.3900000000003"/>
    <s v="New"/>
    <n v="0.25"/>
    <s v="Bank Transfer"/>
    <s v="Online"/>
    <s v="East-Eve"/>
  </r>
  <r>
    <n v="1090"/>
    <d v="2023-09-14T00:00:00"/>
    <x v="2"/>
    <x v="1"/>
    <n v="7122.28"/>
    <n v="47"/>
    <x v="2"/>
    <n v="2357.9499999999998"/>
    <n v="2693.33"/>
    <s v="New"/>
    <n v="0.18"/>
    <s v="Bank Transfer"/>
    <s v="Online"/>
    <s v="West-Charlie"/>
  </r>
  <r>
    <n v="1060"/>
    <d v="2023-08-12T00:00:00"/>
    <x v="1"/>
    <x v="0"/>
    <n v="1756.48"/>
    <n v="5"/>
    <x v="0"/>
    <n v="3970.08"/>
    <n v="4096.4799999999996"/>
    <s v="Returning"/>
    <n v="0.13"/>
    <s v="Cash"/>
    <s v="Retail"/>
    <s v="North-David"/>
  </r>
  <r>
    <n v="1002"/>
    <d v="2023-05-21T00:00:00"/>
    <x v="2"/>
    <x v="1"/>
    <n v="7828.25"/>
    <n v="26"/>
    <x v="2"/>
    <n v="2041.42"/>
    <n v="2291.17"/>
    <s v="Returning"/>
    <n v="0.28000000000000003"/>
    <s v="Cash"/>
    <s v="Online"/>
    <s v="West-Charlie"/>
  </r>
  <r>
    <n v="1001"/>
    <d v="2023-08-03T00:00:00"/>
    <x v="0"/>
    <x v="1"/>
    <n v="5879.35"/>
    <n v="20"/>
    <x v="1"/>
    <n v="2153.52"/>
    <n v="2303.6999999999998"/>
    <s v="Returning"/>
    <n v="0.01"/>
    <s v="Cash"/>
    <s v="Retail"/>
    <s v="West-Bob"/>
  </r>
  <r>
    <n v="1048"/>
    <d v="2023-07-30T00:00:00"/>
    <x v="4"/>
    <x v="0"/>
    <n v="9527"/>
    <n v="6"/>
    <x v="0"/>
    <n v="1945.27"/>
    <n v="2309.4299999999998"/>
    <s v="New"/>
    <n v="0.26"/>
    <s v="Credit Card"/>
    <s v="Online"/>
    <s v="North-Alice"/>
  </r>
  <r>
    <n v="1012"/>
    <d v="2023-11-14T00:00:00"/>
    <x v="3"/>
    <x v="0"/>
    <n v="519.98"/>
    <n v="6"/>
    <x v="2"/>
    <n v="3609.42"/>
    <n v="4082.62"/>
    <s v="Returning"/>
    <n v="0.3"/>
    <s v="Bank Transfer"/>
    <s v="Retail"/>
    <s v="North-Eve"/>
  </r>
  <r>
    <n v="1069"/>
    <d v="2023-02-01T00:00:00"/>
    <x v="3"/>
    <x v="0"/>
    <n v="2726.73"/>
    <n v="18"/>
    <x v="0"/>
    <n v="2760.21"/>
    <n v="3219.58"/>
    <s v="New"/>
    <n v="0.27"/>
    <s v="Bank Transfer"/>
    <s v="Retail"/>
    <s v="North-Eve"/>
  </r>
  <r>
    <n v="1037"/>
    <d v="2023-06-07T00:00:00"/>
    <x v="4"/>
    <x v="2"/>
    <n v="6055.38"/>
    <n v="4"/>
    <x v="1"/>
    <n v="4721.7"/>
    <n v="5017.58"/>
    <s v="New"/>
    <n v="0.24"/>
    <s v="Cash"/>
    <s v="Retail"/>
    <s v="South-Alice"/>
  </r>
  <r>
    <n v="1032"/>
    <d v="2023-10-12T00:00:00"/>
    <x v="4"/>
    <x v="0"/>
    <n v="3035.94"/>
    <n v="17"/>
    <x v="2"/>
    <n v="1291.9100000000001"/>
    <n v="1528.59"/>
    <s v="Returning"/>
    <n v="0.11"/>
    <s v="Credit Card"/>
    <s v="Retail"/>
    <s v="North-Alice"/>
  </r>
  <r>
    <n v="1009"/>
    <d v="2023-11-01T00:00:00"/>
    <x v="0"/>
    <x v="2"/>
    <n v="7172.8"/>
    <n v="14"/>
    <x v="1"/>
    <n v="547.79"/>
    <n v="958.76"/>
    <s v="Returning"/>
    <n v="7.0000000000000007E-2"/>
    <s v="Credit Card"/>
    <s v="Retail"/>
    <s v="South-Bob"/>
  </r>
  <r>
    <n v="1099"/>
    <d v="2023-10-13T00:00:00"/>
    <x v="2"/>
    <x v="0"/>
    <n v="7614.15"/>
    <n v="14"/>
    <x v="1"/>
    <n v="1996.64"/>
    <n v="2341.4699999999998"/>
    <s v="Returning"/>
    <n v="0.22"/>
    <s v="Credit Card"/>
    <s v="Online"/>
    <s v="North-Charlie"/>
  </r>
  <r>
    <n v="1019"/>
    <d v="2023-05-24T00:00:00"/>
    <x v="3"/>
    <x v="2"/>
    <n v="1114.9100000000001"/>
    <n v="13"/>
    <x v="1"/>
    <n v="3102.73"/>
    <n v="3202.68"/>
    <s v="New"/>
    <n v="0.09"/>
    <s v="Cash"/>
    <s v="Online"/>
    <s v="South-Eve"/>
  </r>
  <r>
    <n v="1048"/>
    <d v="2023-01-19T00:00:00"/>
    <x v="0"/>
    <x v="1"/>
    <n v="5187.16"/>
    <n v="7"/>
    <x v="2"/>
    <n v="4310.95"/>
    <n v="4723.2"/>
    <s v="Returning"/>
    <n v="0.05"/>
    <s v="Credit Card"/>
    <s v="Retail"/>
    <s v="West-Bob"/>
  </r>
  <r>
    <n v="1080"/>
    <d v="2023-01-18T00:00:00"/>
    <x v="2"/>
    <x v="3"/>
    <n v="5138.0200000000004"/>
    <n v="44"/>
    <x v="3"/>
    <n v="1763.67"/>
    <n v="1983.82"/>
    <s v="New"/>
    <n v="0.24"/>
    <s v="Credit Card"/>
    <s v="Online"/>
    <s v="East-Charlie"/>
  </r>
  <r>
    <n v="1003"/>
    <d v="2023-09-14T00:00:00"/>
    <x v="0"/>
    <x v="1"/>
    <n v="3755.88"/>
    <n v="15"/>
    <x v="2"/>
    <n v="3286.24"/>
    <n v="3388.84"/>
    <s v="Returning"/>
    <n v="0.09"/>
    <s v="Credit Card"/>
    <s v="Retail"/>
    <s v="West-Bob"/>
  </r>
  <r>
    <n v="1020"/>
    <d v="2023-03-19T00:00:00"/>
    <x v="3"/>
    <x v="1"/>
    <n v="9335.9599999999991"/>
    <n v="19"/>
    <x v="1"/>
    <n v="1783.48"/>
    <n v="1931.56"/>
    <s v="Returning"/>
    <n v="0.27"/>
    <s v="Bank Transfer"/>
    <s v="Retail"/>
    <s v="West-Eve"/>
  </r>
  <r>
    <n v="1024"/>
    <d v="2023-06-24T00:00:00"/>
    <x v="4"/>
    <x v="0"/>
    <n v="8292.31"/>
    <n v="43"/>
    <x v="2"/>
    <n v="3105.24"/>
    <n v="3246.33"/>
    <s v="New"/>
    <n v="0.25"/>
    <s v="Cash"/>
    <s v="Online"/>
    <s v="North-Alice"/>
  </r>
  <r>
    <n v="1054"/>
    <d v="2023-07-13T00:00:00"/>
    <x v="4"/>
    <x v="2"/>
    <n v="7002.37"/>
    <n v="47"/>
    <x v="1"/>
    <n v="4429.8"/>
    <n v="4694.21"/>
    <s v="New"/>
    <n v="0.25"/>
    <s v="Bank Transfer"/>
    <s v="Online"/>
    <s v="South-Alice"/>
  </r>
  <r>
    <n v="1033"/>
    <d v="2023-04-23T00:00:00"/>
    <x v="2"/>
    <x v="3"/>
    <n v="7171.83"/>
    <n v="44"/>
    <x v="3"/>
    <n v="1195.22"/>
    <n v="1320.06"/>
    <s v="Returning"/>
    <n v="0.23"/>
    <s v="Bank Transfer"/>
    <s v="Retail"/>
    <s v="East-Charlie"/>
  </r>
  <r>
    <n v="1024"/>
    <d v="2023-04-24T00:00:00"/>
    <x v="1"/>
    <x v="0"/>
    <n v="4670.99"/>
    <n v="35"/>
    <x v="0"/>
    <n v="2051"/>
    <n v="2121.5500000000002"/>
    <s v="Returning"/>
    <n v="0.26"/>
    <s v="Cash"/>
    <s v="Retail"/>
    <s v="North-David"/>
  </r>
  <r>
    <n v="1075"/>
    <d v="2023-08-10T00:00:00"/>
    <x v="2"/>
    <x v="0"/>
    <n v="9217.85"/>
    <n v="17"/>
    <x v="3"/>
    <n v="4966.66"/>
    <n v="5037.2700000000004"/>
    <s v="Returning"/>
    <n v="0.24"/>
    <s v="Bank Transfer"/>
    <s v="Retail"/>
    <s v="North-Charlie"/>
  </r>
  <r>
    <n v="1072"/>
    <d v="2023-06-15T00:00:00"/>
    <x v="1"/>
    <x v="0"/>
    <n v="6976.49"/>
    <n v="35"/>
    <x v="3"/>
    <n v="4349.3599999999997"/>
    <n v="4645.17"/>
    <s v="Returning"/>
    <n v="0.18"/>
    <s v="Credit Card"/>
    <s v="Retail"/>
    <s v="North-David"/>
  </r>
  <r>
    <n v="1036"/>
    <d v="2023-11-15T00:00:00"/>
    <x v="0"/>
    <x v="1"/>
    <n v="7316.91"/>
    <n v="19"/>
    <x v="0"/>
    <n v="2844.97"/>
    <n v="3215"/>
    <s v="Returning"/>
    <n v="0.09"/>
    <s v="Credit Card"/>
    <s v="Retail"/>
    <s v="West-Bob"/>
  </r>
  <r>
    <n v="1038"/>
    <d v="2023-05-12T00:00:00"/>
    <x v="0"/>
    <x v="2"/>
    <n v="8630.74"/>
    <n v="20"/>
    <x v="2"/>
    <n v="2607.31"/>
    <n v="2774.86"/>
    <s v="New"/>
    <n v="0.27"/>
    <s v="Credit Card"/>
    <s v="Retail"/>
    <s v="South-Bob"/>
  </r>
  <r>
    <n v="1084"/>
    <d v="2023-09-21T00:00:00"/>
    <x v="3"/>
    <x v="2"/>
    <n v="2813.31"/>
    <n v="36"/>
    <x v="0"/>
    <n v="1458.77"/>
    <n v="1485.75"/>
    <s v="New"/>
    <n v="0.25"/>
    <s v="Credit Card"/>
    <s v="Online"/>
    <s v="South-Eve"/>
  </r>
  <r>
    <n v="1099"/>
    <d v="2023-02-24T00:00:00"/>
    <x v="1"/>
    <x v="3"/>
    <n v="8090"/>
    <n v="35"/>
    <x v="2"/>
    <n v="2610.19"/>
    <n v="2682.53"/>
    <s v="New"/>
    <n v="0.14000000000000001"/>
    <s v="Cash"/>
    <s v="Retail"/>
    <s v="East-David"/>
  </r>
  <r>
    <n v="1089"/>
    <d v="2023-12-25T00:00:00"/>
    <x v="3"/>
    <x v="2"/>
    <n v="2032.88"/>
    <n v="32"/>
    <x v="2"/>
    <n v="4248.5"/>
    <n v="4706.7"/>
    <s v="New"/>
    <n v="0.01"/>
    <s v="Bank Transfer"/>
    <s v="Retail"/>
    <s v="South-Eve"/>
  </r>
  <r>
    <n v="1099"/>
    <d v="2023-05-11T00:00:00"/>
    <x v="4"/>
    <x v="2"/>
    <n v="3518.89"/>
    <n v="48"/>
    <x v="1"/>
    <n v="3441.61"/>
    <n v="3693.45"/>
    <s v="Returning"/>
    <n v="0.19"/>
    <s v="Bank Transfer"/>
    <s v="Online"/>
    <s v="South-Alice"/>
  </r>
  <r>
    <n v="1025"/>
    <d v="2023-10-15T00:00:00"/>
    <x v="1"/>
    <x v="0"/>
    <n v="3422.54"/>
    <n v="44"/>
    <x v="1"/>
    <n v="1485.72"/>
    <n v="1717.97"/>
    <s v="New"/>
    <n v="0.02"/>
    <s v="Credit Card"/>
    <s v="Retail"/>
    <s v="North-David"/>
  </r>
  <r>
    <n v="1093"/>
    <d v="2023-09-23T00:00:00"/>
    <x v="2"/>
    <x v="0"/>
    <n v="9787.4"/>
    <n v="40"/>
    <x v="0"/>
    <n v="1047.25"/>
    <n v="1075.8900000000001"/>
    <s v="New"/>
    <n v="0.28000000000000003"/>
    <s v="Credit Card"/>
    <s v="Retail"/>
    <s v="North-Charlie"/>
  </r>
  <r>
    <n v="1018"/>
    <d v="2024-01-01T00:00:00"/>
    <x v="4"/>
    <x v="1"/>
    <n v="8579.7199999999993"/>
    <n v="24"/>
    <x v="3"/>
    <n v="1362.78"/>
    <n v="1729.81"/>
    <s v="New"/>
    <n v="0.28999999999999998"/>
    <s v="Bank Transfer"/>
    <s v="Online"/>
    <s v="West-Alice"/>
  </r>
  <r>
    <n v="1082"/>
    <d v="2023-06-11T00:00:00"/>
    <x v="4"/>
    <x v="0"/>
    <n v="7041.58"/>
    <n v="17"/>
    <x v="0"/>
    <n v="890.31"/>
    <n v="1159.06"/>
    <s v="Returning"/>
    <n v="0.06"/>
    <s v="Cash"/>
    <s v="Retail"/>
    <s v="North-Alice"/>
  </r>
  <r>
    <n v="1066"/>
    <d v="2023-03-28T00:00:00"/>
    <x v="2"/>
    <x v="0"/>
    <n v="7297.86"/>
    <n v="7"/>
    <x v="2"/>
    <n v="523.41999999999996"/>
    <n v="632.44000000000005"/>
    <s v="New"/>
    <n v="0.2"/>
    <s v="Bank Transfer"/>
    <s v="Online"/>
    <s v="North-Charlie"/>
  </r>
  <r>
    <n v="1054"/>
    <d v="2023-02-24T00:00:00"/>
    <x v="4"/>
    <x v="0"/>
    <n v="5664.52"/>
    <n v="43"/>
    <x v="1"/>
    <n v="2124.7199999999998"/>
    <n v="2188.66"/>
    <s v="Returning"/>
    <n v="0.03"/>
    <s v="Credit Card"/>
    <s v="Retail"/>
    <s v="North-Alice"/>
  </r>
  <r>
    <n v="1035"/>
    <d v="2023-10-15T00:00:00"/>
    <x v="1"/>
    <x v="0"/>
    <n v="9476.2000000000007"/>
    <n v="1"/>
    <x v="0"/>
    <n v="610.83000000000004"/>
    <n v="808.69"/>
    <s v="New"/>
    <n v="0.22"/>
    <s v="Credit Card"/>
    <s v="Online"/>
    <s v="North-David"/>
  </r>
  <r>
    <n v="1080"/>
    <d v="2023-06-27T00:00:00"/>
    <x v="3"/>
    <x v="1"/>
    <n v="5012.96"/>
    <n v="35"/>
    <x v="0"/>
    <n v="900.97"/>
    <n v="1321.18"/>
    <s v="Returning"/>
    <n v="0.1"/>
    <s v="Cash"/>
    <s v="Online"/>
    <s v="West-Eve"/>
  </r>
  <r>
    <n v="1061"/>
    <d v="2023-12-15T00:00:00"/>
    <x v="4"/>
    <x v="0"/>
    <n v="3867.13"/>
    <n v="32"/>
    <x v="1"/>
    <n v="2759.26"/>
    <n v="3193.25"/>
    <s v="New"/>
    <n v="0.2"/>
    <s v="Bank Transfer"/>
    <s v="Online"/>
    <s v="North-Alice"/>
  </r>
  <r>
    <n v="1041"/>
    <d v="2023-01-08T00:00:00"/>
    <x v="1"/>
    <x v="3"/>
    <n v="1714.05"/>
    <n v="36"/>
    <x v="1"/>
    <n v="864.77"/>
    <n v="1170.1600000000001"/>
    <s v="Returning"/>
    <n v="0.11"/>
    <s v="Cash"/>
    <s v="Retail"/>
    <s v="East-David"/>
  </r>
  <r>
    <n v="1100"/>
    <d v="2023-11-17T00:00:00"/>
    <x v="0"/>
    <x v="3"/>
    <n v="7883.44"/>
    <n v="13"/>
    <x v="1"/>
    <n v="366.2"/>
    <n v="732.69"/>
    <s v="New"/>
    <n v="0.04"/>
    <s v="Cash"/>
    <s v="Retail"/>
    <s v="East-Bob"/>
  </r>
  <r>
    <n v="1033"/>
    <d v="2023-11-09T00:00:00"/>
    <x v="1"/>
    <x v="3"/>
    <n v="7370.99"/>
    <n v="6"/>
    <x v="2"/>
    <n v="1621.07"/>
    <n v="1687.5"/>
    <s v="Returning"/>
    <n v="0.12"/>
    <s v="Credit Card"/>
    <s v="Online"/>
    <s v="East-David"/>
  </r>
  <r>
    <n v="1068"/>
    <d v="2023-09-04T00:00:00"/>
    <x v="3"/>
    <x v="3"/>
    <n v="3905.11"/>
    <n v="14"/>
    <x v="1"/>
    <n v="1140.58"/>
    <n v="1438.76"/>
    <s v="Returning"/>
    <n v="0.03"/>
    <s v="Bank Transfer"/>
    <s v="Online"/>
    <s v="East-Eve"/>
  </r>
  <r>
    <n v="1033"/>
    <d v="2023-11-19T00:00:00"/>
    <x v="1"/>
    <x v="0"/>
    <n v="349.41"/>
    <n v="37"/>
    <x v="3"/>
    <n v="2600.7600000000002"/>
    <n v="2937.57"/>
    <s v="New"/>
    <n v="0.17"/>
    <s v="Credit Card"/>
    <s v="Retail"/>
    <s v="North-David"/>
  </r>
  <r>
    <n v="1014"/>
    <d v="2023-09-12T00:00:00"/>
    <x v="2"/>
    <x v="3"/>
    <n v="8406.07"/>
    <n v="48"/>
    <x v="0"/>
    <n v="556.72"/>
    <n v="665.07"/>
    <s v="Returning"/>
    <n v="0.01"/>
    <s v="Bank Transfer"/>
    <s v="Retail"/>
    <s v="East-Charlie"/>
  </r>
  <r>
    <n v="1021"/>
    <d v="2023-11-24T00:00:00"/>
    <x v="3"/>
    <x v="0"/>
    <n v="213.04"/>
    <n v="15"/>
    <x v="1"/>
    <n v="3771.27"/>
    <n v="4212.55"/>
    <s v="Returning"/>
    <n v="0.16"/>
    <s v="Credit Card"/>
    <s v="Retail"/>
    <s v="North-Eve"/>
  </r>
  <r>
    <n v="1048"/>
    <d v="2023-02-23T00:00:00"/>
    <x v="0"/>
    <x v="1"/>
    <n v="7066.63"/>
    <n v="47"/>
    <x v="1"/>
    <n v="4535.8599999999997"/>
    <n v="4641.41"/>
    <s v="New"/>
    <n v="0.27"/>
    <s v="Credit Card"/>
    <s v="Retail"/>
    <s v="West-Bob"/>
  </r>
  <r>
    <n v="1020"/>
    <d v="2023-09-06T00:00:00"/>
    <x v="2"/>
    <x v="3"/>
    <n v="9705.5499999999993"/>
    <n v="4"/>
    <x v="2"/>
    <n v="3730"/>
    <n v="3893.6"/>
    <s v="New"/>
    <n v="0.25"/>
    <s v="Bank Transfer"/>
    <s v="Retail"/>
    <s v="East-Charlie"/>
  </r>
  <r>
    <n v="1008"/>
    <d v="2023-08-27T00:00:00"/>
    <x v="1"/>
    <x v="2"/>
    <n v="4432.8500000000004"/>
    <n v="40"/>
    <x v="2"/>
    <n v="2687.49"/>
    <n v="3001.56"/>
    <s v="Returning"/>
    <n v="0.26"/>
    <s v="Bank Transfer"/>
    <s v="Online"/>
    <s v="South-David"/>
  </r>
  <r>
    <n v="1007"/>
    <d v="2023-08-17T00:00:00"/>
    <x v="3"/>
    <x v="3"/>
    <n v="2426.2399999999998"/>
    <n v="16"/>
    <x v="0"/>
    <n v="4310.3100000000004"/>
    <n v="4633.1000000000004"/>
    <s v="New"/>
    <n v="0.28000000000000003"/>
    <s v="Credit Card"/>
    <s v="Retail"/>
    <s v="East-Eve"/>
  </r>
  <r>
    <n v="1067"/>
    <d v="2023-03-08T00:00:00"/>
    <x v="0"/>
    <x v="3"/>
    <n v="7078.22"/>
    <n v="28"/>
    <x v="3"/>
    <n v="3489.85"/>
    <n v="3842.55"/>
    <s v="New"/>
    <n v="0.03"/>
    <s v="Bank Transfer"/>
    <s v="Online"/>
    <s v="East-Bob"/>
  </r>
  <r>
    <n v="1017"/>
    <d v="2023-02-20T00:00:00"/>
    <x v="2"/>
    <x v="0"/>
    <n v="8189.57"/>
    <n v="16"/>
    <x v="0"/>
    <n v="102.23"/>
    <n v="167.12"/>
    <s v="New"/>
    <n v="0.04"/>
    <s v="Credit Card"/>
    <s v="Retail"/>
    <s v="North-Charlie"/>
  </r>
  <r>
    <n v="1033"/>
    <d v="2023-04-07T00:00:00"/>
    <x v="0"/>
    <x v="3"/>
    <n v="5509.66"/>
    <n v="4"/>
    <x v="1"/>
    <n v="2000.75"/>
    <n v="2426.9899999999998"/>
    <s v="Returning"/>
    <n v="0.17"/>
    <s v="Bank Transfer"/>
    <s v="Online"/>
    <s v="East-Bob"/>
  </r>
  <r>
    <n v="1048"/>
    <d v="2023-04-02T00:00:00"/>
    <x v="1"/>
    <x v="2"/>
    <n v="9673.65"/>
    <n v="45"/>
    <x v="3"/>
    <n v="4262.21"/>
    <n v="4533.3100000000004"/>
    <s v="Returning"/>
    <n v="0.27"/>
    <s v="Credit Card"/>
    <s v="Online"/>
    <s v="South-David"/>
  </r>
  <r>
    <n v="1076"/>
    <d v="2023-09-21T00:00:00"/>
    <x v="0"/>
    <x v="0"/>
    <n v="611.52"/>
    <n v="26"/>
    <x v="3"/>
    <n v="1762"/>
    <n v="2002.95"/>
    <s v="Returning"/>
    <n v="0.28999999999999998"/>
    <s v="Credit Card"/>
    <s v="Retail"/>
    <s v="North-Bob"/>
  </r>
  <r>
    <n v="1059"/>
    <d v="2023-10-18T00:00:00"/>
    <x v="4"/>
    <x v="0"/>
    <n v="5097.4799999999996"/>
    <n v="28"/>
    <x v="3"/>
    <n v="224.32"/>
    <n v="715.06"/>
    <s v="Returning"/>
    <n v="0.01"/>
    <s v="Credit Card"/>
    <s v="Online"/>
    <s v="North-Alice"/>
  </r>
  <r>
    <n v="1086"/>
    <d v="2023-04-06T00:00:00"/>
    <x v="2"/>
    <x v="1"/>
    <n v="7212.69"/>
    <n v="32"/>
    <x v="3"/>
    <n v="3743.59"/>
    <n v="4116.38"/>
    <s v="Returning"/>
    <n v="0.11"/>
    <s v="Cash"/>
    <s v="Online"/>
    <s v="West-Charlie"/>
  </r>
  <r>
    <n v="1022"/>
    <d v="2023-03-29T00:00:00"/>
    <x v="0"/>
    <x v="1"/>
    <n v="8640.14"/>
    <n v="45"/>
    <x v="0"/>
    <n v="4020.09"/>
    <n v="4087.91"/>
    <s v="Returning"/>
    <n v="0.06"/>
    <s v="Bank Transfer"/>
    <s v="Online"/>
    <s v="West-Bob"/>
  </r>
  <r>
    <n v="1030"/>
    <d v="2023-03-19T00:00:00"/>
    <x v="1"/>
    <x v="3"/>
    <n v="1874.63"/>
    <n v="2"/>
    <x v="2"/>
    <n v="844.94"/>
    <n v="1225.6400000000001"/>
    <s v="Returning"/>
    <n v="0.23"/>
    <s v="Credit Card"/>
    <s v="Online"/>
    <s v="East-David"/>
  </r>
  <r>
    <n v="1038"/>
    <d v="2023-10-15T00:00:00"/>
    <x v="1"/>
    <x v="1"/>
    <n v="8020.03"/>
    <n v="31"/>
    <x v="2"/>
    <n v="2709.84"/>
    <n v="2766.51"/>
    <s v="New"/>
    <n v="0.19"/>
    <s v="Cash"/>
    <s v="Retail"/>
    <s v="West-David"/>
  </r>
  <r>
    <n v="1051"/>
    <d v="2023-04-30T00:00:00"/>
    <x v="0"/>
    <x v="1"/>
    <n v="5571.8"/>
    <n v="3"/>
    <x v="1"/>
    <n v="1000.18"/>
    <n v="1023.64"/>
    <s v="Returning"/>
    <n v="0.04"/>
    <s v="Credit Card"/>
    <s v="Online"/>
    <s v="West-Bob"/>
  </r>
  <r>
    <n v="1054"/>
    <d v="2023-10-29T00:00:00"/>
    <x v="1"/>
    <x v="1"/>
    <n v="4025.88"/>
    <n v="8"/>
    <x v="2"/>
    <n v="3610.21"/>
    <n v="3817.99"/>
    <s v="Returning"/>
    <n v="0.15"/>
    <s v="Cash"/>
    <s v="Retail"/>
    <s v="West-David"/>
  </r>
  <r>
    <n v="1008"/>
    <d v="2023-06-14T00:00:00"/>
    <x v="3"/>
    <x v="0"/>
    <n v="1403.98"/>
    <n v="24"/>
    <x v="2"/>
    <n v="1394.17"/>
    <n v="1891.02"/>
    <s v="New"/>
    <n v="0.21"/>
    <s v="Credit Card"/>
    <s v="Online"/>
    <s v="North-Eve"/>
  </r>
  <r>
    <n v="1027"/>
    <d v="2023-07-01T00:00:00"/>
    <x v="3"/>
    <x v="0"/>
    <n v="8666.43"/>
    <n v="15"/>
    <x v="2"/>
    <n v="1615.26"/>
    <n v="1710.95"/>
    <s v="New"/>
    <n v="0.23"/>
    <s v="Credit Card"/>
    <s v="Retail"/>
    <s v="North-Eve"/>
  </r>
  <r>
    <n v="1027"/>
    <d v="2023-08-11T00:00:00"/>
    <x v="3"/>
    <x v="0"/>
    <n v="1657"/>
    <n v="43"/>
    <x v="2"/>
    <n v="4232.6099999999997"/>
    <n v="4572.21"/>
    <s v="New"/>
    <n v="0.01"/>
    <s v="Cash"/>
    <s v="Retail"/>
    <s v="North-Eve"/>
  </r>
  <r>
    <n v="1098"/>
    <d v="2023-11-07T00:00:00"/>
    <x v="4"/>
    <x v="1"/>
    <n v="3166.9"/>
    <n v="31"/>
    <x v="1"/>
    <n v="2407.8000000000002"/>
    <n v="2502.7600000000002"/>
    <s v="Returning"/>
    <n v="0.27"/>
    <s v="Cash"/>
    <s v="Retail"/>
    <s v="West-Alice"/>
  </r>
  <r>
    <n v="1021"/>
    <d v="2023-01-07T00:00:00"/>
    <x v="0"/>
    <x v="0"/>
    <n v="2971.45"/>
    <n v="9"/>
    <x v="0"/>
    <n v="3365.28"/>
    <n v="3730.43"/>
    <s v="New"/>
    <n v="0.17"/>
    <s v="Bank Transfer"/>
    <s v="Online"/>
    <s v="North-Bob"/>
  </r>
  <r>
    <n v="1030"/>
    <d v="2023-11-26T00:00:00"/>
    <x v="4"/>
    <x v="1"/>
    <n v="8727"/>
    <n v="39"/>
    <x v="3"/>
    <n v="2041.75"/>
    <n v="2299.37"/>
    <s v="Returning"/>
    <n v="0.24"/>
    <s v="Bank Transfer"/>
    <s v="Retail"/>
    <s v="West-Alice"/>
  </r>
  <r>
    <n v="1097"/>
    <d v="2023-09-20T00:00:00"/>
    <x v="1"/>
    <x v="0"/>
    <n v="6759.76"/>
    <n v="45"/>
    <x v="2"/>
    <n v="1525.13"/>
    <n v="1868.32"/>
    <s v="Returning"/>
    <n v="0.24"/>
    <s v="Cash"/>
    <s v="Retail"/>
    <s v="North-David"/>
  </r>
  <r>
    <n v="1028"/>
    <d v="2023-06-10T00:00:00"/>
    <x v="4"/>
    <x v="0"/>
    <n v="7987.15"/>
    <n v="2"/>
    <x v="0"/>
    <n v="3146.12"/>
    <n v="3255.53"/>
    <s v="Returning"/>
    <n v="0.06"/>
    <s v="Bank Transfer"/>
    <s v="Online"/>
    <s v="North-Alice"/>
  </r>
  <r>
    <n v="1064"/>
    <d v="2023-05-31T00:00:00"/>
    <x v="1"/>
    <x v="2"/>
    <n v="2579.63"/>
    <n v="8"/>
    <x v="2"/>
    <n v="816.54"/>
    <n v="1191.9000000000001"/>
    <s v="New"/>
    <n v="0.03"/>
    <s v="Cash"/>
    <s v="Retail"/>
    <s v="South-David"/>
  </r>
  <r>
    <n v="1097"/>
    <d v="2023-03-26T00:00:00"/>
    <x v="1"/>
    <x v="3"/>
    <n v="6286.25"/>
    <n v="7"/>
    <x v="2"/>
    <n v="1896.35"/>
    <n v="2394.1999999999998"/>
    <s v="New"/>
    <n v="0.22"/>
    <s v="Bank Transfer"/>
    <s v="Online"/>
    <s v="East-David"/>
  </r>
  <r>
    <n v="1069"/>
    <d v="2023-05-27T00:00:00"/>
    <x v="2"/>
    <x v="1"/>
    <n v="5760.29"/>
    <n v="44"/>
    <x v="3"/>
    <n v="1084.73"/>
    <n v="1420.9"/>
    <s v="Returning"/>
    <n v="0.05"/>
    <s v="Credit Card"/>
    <s v="Online"/>
    <s v="West-Charlie"/>
  </r>
  <r>
    <n v="1061"/>
    <d v="2023-04-22T00:00:00"/>
    <x v="3"/>
    <x v="2"/>
    <n v="8345.02"/>
    <n v="39"/>
    <x v="3"/>
    <n v="3494.19"/>
    <n v="3746"/>
    <s v="Returning"/>
    <n v="0.25"/>
    <s v="Bank Transfer"/>
    <s v="Retail"/>
    <s v="South-Eve"/>
  </r>
  <r>
    <n v="1048"/>
    <d v="2023-02-05T00:00:00"/>
    <x v="1"/>
    <x v="0"/>
    <n v="9070.26"/>
    <n v="42"/>
    <x v="3"/>
    <n v="4723.83"/>
    <n v="5186.1899999999996"/>
    <s v="Returning"/>
    <n v="0.22"/>
    <s v="Credit Card"/>
    <s v="Online"/>
    <s v="North-David"/>
  </r>
  <r>
    <n v="1019"/>
    <d v="2023-10-12T00:00:00"/>
    <x v="2"/>
    <x v="1"/>
    <n v="220.35"/>
    <n v="16"/>
    <x v="2"/>
    <n v="4977.78"/>
    <n v="4995.55"/>
    <s v="New"/>
    <n v="0.25"/>
    <s v="Credit Card"/>
    <s v="Online"/>
    <s v="West-Charlie"/>
  </r>
  <r>
    <n v="1004"/>
    <d v="2023-07-07T00:00:00"/>
    <x v="3"/>
    <x v="0"/>
    <n v="6772.8"/>
    <n v="35"/>
    <x v="2"/>
    <n v="2278.87"/>
    <n v="2646.53"/>
    <s v="Returning"/>
    <n v="0.09"/>
    <s v="Bank Transfer"/>
    <s v="Online"/>
    <s v="North-Eve"/>
  </r>
  <r>
    <n v="1035"/>
    <d v="2023-03-23T00:00:00"/>
    <x v="1"/>
    <x v="3"/>
    <n v="613.16999999999996"/>
    <n v="30"/>
    <x v="2"/>
    <n v="1300.03"/>
    <n v="1745.52"/>
    <s v="New"/>
    <n v="0.09"/>
    <s v="Cash"/>
    <s v="Retail"/>
    <s v="East-David"/>
  </r>
  <r>
    <n v="1064"/>
    <d v="2023-01-02T00:00:00"/>
    <x v="1"/>
    <x v="2"/>
    <n v="5533.7"/>
    <n v="10"/>
    <x v="3"/>
    <n v="2242.0100000000002"/>
    <n v="2282.23"/>
    <s v="Returning"/>
    <n v="0.2"/>
    <s v="Credit Card"/>
    <s v="Online"/>
    <s v="South-David"/>
  </r>
  <r>
    <n v="1049"/>
    <d v="2023-10-30T00:00:00"/>
    <x v="4"/>
    <x v="3"/>
    <n v="2947.56"/>
    <n v="38"/>
    <x v="1"/>
    <n v="4243.9799999999996"/>
    <n v="4474.51"/>
    <s v="New"/>
    <n v="0.01"/>
    <s v="Credit Card"/>
    <s v="Online"/>
    <s v="East-Alice"/>
  </r>
  <r>
    <n v="1017"/>
    <d v="2023-07-16T00:00:00"/>
    <x v="4"/>
    <x v="2"/>
    <n v="3137.09"/>
    <n v="18"/>
    <x v="0"/>
    <n v="1069.73"/>
    <n v="1180.04"/>
    <s v="Returning"/>
    <n v="0.22"/>
    <s v="Bank Transfer"/>
    <s v="Online"/>
    <s v="South-Alice"/>
  </r>
  <r>
    <n v="1044"/>
    <d v="2023-01-11T00:00:00"/>
    <x v="3"/>
    <x v="0"/>
    <n v="3594.29"/>
    <n v="5"/>
    <x v="1"/>
    <n v="4762.87"/>
    <n v="5050.46"/>
    <s v="New"/>
    <n v="0.25"/>
    <s v="Cash"/>
    <s v="Retail"/>
    <s v="North-Eve"/>
  </r>
  <r>
    <n v="1092"/>
    <d v="2023-08-22T00:00:00"/>
    <x v="1"/>
    <x v="3"/>
    <n v="6250.8"/>
    <n v="29"/>
    <x v="2"/>
    <n v="1742.24"/>
    <n v="2070.52"/>
    <s v="New"/>
    <n v="0.12"/>
    <s v="Cash"/>
    <s v="Online"/>
    <s v="East-David"/>
  </r>
  <r>
    <n v="1030"/>
    <d v="2023-07-14T00:00:00"/>
    <x v="0"/>
    <x v="3"/>
    <n v="3407.09"/>
    <n v="39"/>
    <x v="2"/>
    <n v="4929.7299999999996"/>
    <n v="5088.0200000000004"/>
    <s v="New"/>
    <n v="0.23"/>
    <s v="Bank Transfer"/>
    <s v="Retail"/>
    <s v="East-Bob"/>
  </r>
  <r>
    <n v="1093"/>
    <d v="2023-04-29T00:00:00"/>
    <x v="4"/>
    <x v="0"/>
    <n v="7353.72"/>
    <n v="34"/>
    <x v="1"/>
    <n v="4201.1099999999997"/>
    <n v="4436.5"/>
    <s v="New"/>
    <n v="0.05"/>
    <s v="Cash"/>
    <s v="Online"/>
    <s v="North-Alice"/>
  </r>
  <r>
    <n v="1046"/>
    <d v="2023-01-20T00:00:00"/>
    <x v="3"/>
    <x v="3"/>
    <n v="4104.82"/>
    <n v="43"/>
    <x v="2"/>
    <n v="4052.42"/>
    <n v="4199.3"/>
    <s v="New"/>
    <n v="0.1"/>
    <s v="Bank Transfer"/>
    <s v="Retail"/>
    <s v="East-Eve"/>
  </r>
  <r>
    <n v="1006"/>
    <d v="2023-09-18T00:00:00"/>
    <x v="1"/>
    <x v="1"/>
    <n v="776.7"/>
    <n v="45"/>
    <x v="0"/>
    <n v="1623.63"/>
    <n v="1814.63"/>
    <s v="New"/>
    <n v="0.28999999999999998"/>
    <s v="Bank Transfer"/>
    <s v="Retail"/>
    <s v="West-David"/>
  </r>
  <r>
    <n v="1099"/>
    <d v="2023-10-20T00:00:00"/>
    <x v="1"/>
    <x v="2"/>
    <n v="7859.22"/>
    <n v="23"/>
    <x v="2"/>
    <n v="93.45"/>
    <n v="181.62"/>
    <s v="Returning"/>
    <n v="0.3"/>
    <s v="Bank Transfer"/>
    <s v="Retail"/>
    <s v="South-David"/>
  </r>
  <r>
    <n v="1037"/>
    <d v="2023-09-13T00:00:00"/>
    <x v="0"/>
    <x v="2"/>
    <n v="2929.01"/>
    <n v="5"/>
    <x v="0"/>
    <n v="1941.56"/>
    <n v="2385.48"/>
    <s v="Returning"/>
    <n v="0.15"/>
    <s v="Credit Card"/>
    <s v="Online"/>
    <s v="South-Bob"/>
  </r>
  <r>
    <n v="1024"/>
    <d v="2023-08-10T00:00:00"/>
    <x v="3"/>
    <x v="2"/>
    <n v="4384.3900000000003"/>
    <n v="30"/>
    <x v="1"/>
    <n v="1543.96"/>
    <n v="1558.87"/>
    <s v="Returning"/>
    <n v="0.28000000000000003"/>
    <s v="Credit Card"/>
    <s v="Online"/>
    <s v="South-Eve"/>
  </r>
  <r>
    <n v="1093"/>
    <d v="2023-08-14T00:00:00"/>
    <x v="1"/>
    <x v="1"/>
    <n v="6885.89"/>
    <n v="6"/>
    <x v="1"/>
    <n v="235.12"/>
    <n v="677.5"/>
    <s v="Returning"/>
    <n v="0.16"/>
    <s v="Credit Card"/>
    <s v="Online"/>
    <s v="West-David"/>
  </r>
  <r>
    <n v="1046"/>
    <d v="2023-02-22T00:00:00"/>
    <x v="4"/>
    <x v="2"/>
    <n v="3391.32"/>
    <n v="46"/>
    <x v="2"/>
    <n v="2551.56"/>
    <n v="2841.68"/>
    <s v="New"/>
    <n v="0.09"/>
    <s v="Bank Transfer"/>
    <s v="Retail"/>
    <s v="South-Alice"/>
  </r>
  <r>
    <n v="1053"/>
    <d v="2023-12-21T00:00:00"/>
    <x v="0"/>
    <x v="0"/>
    <n v="660.2"/>
    <n v="44"/>
    <x v="0"/>
    <n v="2045"/>
    <n v="2217.5100000000002"/>
    <s v="Returning"/>
    <n v="0.08"/>
    <s v="Credit Card"/>
    <s v="Online"/>
    <s v="North-Bob"/>
  </r>
  <r>
    <n v="1095"/>
    <d v="2023-12-08T00:00:00"/>
    <x v="3"/>
    <x v="3"/>
    <n v="3801.82"/>
    <n v="4"/>
    <x v="2"/>
    <n v="3191.05"/>
    <n v="3555.35"/>
    <s v="New"/>
    <n v="0.28000000000000003"/>
    <s v="Credit Card"/>
    <s v="Online"/>
    <s v="East-Eve"/>
  </r>
  <r>
    <n v="1099"/>
    <d v="2023-12-30T00:00:00"/>
    <x v="0"/>
    <x v="1"/>
    <n v="9450.0400000000009"/>
    <n v="29"/>
    <x v="3"/>
    <n v="3124.87"/>
    <n v="3383.67"/>
    <s v="New"/>
    <n v="0.05"/>
    <s v="Credit Card"/>
    <s v="Retail"/>
    <s v="West-Bob"/>
  </r>
  <r>
    <n v="1060"/>
    <d v="2023-10-07T00:00:00"/>
    <x v="4"/>
    <x v="2"/>
    <n v="6453.17"/>
    <n v="23"/>
    <x v="3"/>
    <n v="647.70000000000005"/>
    <n v="902.26"/>
    <s v="New"/>
    <n v="0.17"/>
    <s v="Bank Transfer"/>
    <s v="Online"/>
    <s v="South-Alice"/>
  </r>
  <r>
    <n v="1097"/>
    <d v="2023-03-22T00:00:00"/>
    <x v="3"/>
    <x v="0"/>
    <n v="6747.64"/>
    <n v="6"/>
    <x v="3"/>
    <n v="4885.9799999999996"/>
    <n v="4949.95"/>
    <s v="Returning"/>
    <n v="0.17"/>
    <s v="Bank Transfer"/>
    <s v="Online"/>
    <s v="North-Eve"/>
  </r>
  <r>
    <n v="1063"/>
    <d v="2023-07-21T00:00:00"/>
    <x v="0"/>
    <x v="3"/>
    <n v="6359.59"/>
    <n v="32"/>
    <x v="3"/>
    <n v="975.31"/>
    <n v="1176.17"/>
    <s v="New"/>
    <n v="0.22"/>
    <s v="Bank Transfer"/>
    <s v="Retail"/>
    <s v="East-Bob"/>
  </r>
  <r>
    <n v="1085"/>
    <d v="2023-06-07T00:00:00"/>
    <x v="2"/>
    <x v="3"/>
    <n v="2070.02"/>
    <n v="42"/>
    <x v="2"/>
    <n v="2254.11"/>
    <n v="2382.23"/>
    <s v="Returning"/>
    <n v="0.15"/>
    <s v="Credit Card"/>
    <s v="Retail"/>
    <s v="East-Charlie"/>
  </r>
  <r>
    <n v="1032"/>
    <d v="2023-04-30T00:00:00"/>
    <x v="4"/>
    <x v="1"/>
    <n v="4241.51"/>
    <n v="18"/>
    <x v="3"/>
    <n v="2466.1799999999998"/>
    <n v="2483.87"/>
    <s v="Returning"/>
    <n v="0.08"/>
    <s v="Cash"/>
    <s v="Online"/>
    <s v="West-Alice"/>
  </r>
  <r>
    <n v="1087"/>
    <d v="2023-02-28T00:00:00"/>
    <x v="4"/>
    <x v="1"/>
    <n v="7534.3"/>
    <n v="15"/>
    <x v="0"/>
    <n v="4074.66"/>
    <n v="4261.1099999999997"/>
    <s v="Returning"/>
    <n v="0.05"/>
    <s v="Credit Card"/>
    <s v="Retail"/>
    <s v="West-Alice"/>
  </r>
  <r>
    <n v="1033"/>
    <d v="2023-08-03T00:00:00"/>
    <x v="4"/>
    <x v="1"/>
    <n v="1103.5899999999999"/>
    <n v="40"/>
    <x v="1"/>
    <n v="541.19000000000005"/>
    <n v="595.20000000000005"/>
    <s v="Returning"/>
    <n v="0.19"/>
    <s v="Credit Card"/>
    <s v="Online"/>
    <s v="West-Alice"/>
  </r>
  <r>
    <n v="1067"/>
    <d v="2023-05-08T00:00:00"/>
    <x v="2"/>
    <x v="0"/>
    <n v="2850.74"/>
    <n v="32"/>
    <x v="1"/>
    <n v="2171.79"/>
    <n v="2307.64"/>
    <s v="Returning"/>
    <n v="0.22"/>
    <s v="Bank Transfer"/>
    <s v="Online"/>
    <s v="North-Charlie"/>
  </r>
  <r>
    <n v="1018"/>
    <d v="2023-08-12T00:00:00"/>
    <x v="2"/>
    <x v="0"/>
    <n v="2835.56"/>
    <n v="9"/>
    <x v="3"/>
    <n v="3161.09"/>
    <n v="3216.42"/>
    <s v="New"/>
    <n v="0.17"/>
    <s v="Bank Transfer"/>
    <s v="Online"/>
    <s v="North-Charlie"/>
  </r>
  <r>
    <n v="1025"/>
    <d v="2023-07-28T00:00:00"/>
    <x v="1"/>
    <x v="1"/>
    <n v="4376.99"/>
    <n v="37"/>
    <x v="3"/>
    <n v="1115.02"/>
    <n v="1174.48"/>
    <s v="New"/>
    <n v="0.22"/>
    <s v="Credit Card"/>
    <s v="Online"/>
    <s v="West-David"/>
  </r>
  <r>
    <n v="1095"/>
    <d v="2023-04-25T00:00:00"/>
    <x v="0"/>
    <x v="2"/>
    <n v="9805.65"/>
    <n v="10"/>
    <x v="3"/>
    <n v="3155.97"/>
    <n v="3263.49"/>
    <s v="Returning"/>
    <n v="0.04"/>
    <s v="Credit Card"/>
    <s v="Online"/>
    <s v="South-Bob"/>
  </r>
  <r>
    <n v="1054"/>
    <d v="2023-07-28T00:00:00"/>
    <x v="1"/>
    <x v="3"/>
    <n v="768.28"/>
    <n v="20"/>
    <x v="2"/>
    <n v="4622.1400000000003"/>
    <n v="5122.07"/>
    <s v="New"/>
    <n v="0.26"/>
    <s v="Cash"/>
    <s v="Retail"/>
    <s v="East-David"/>
  </r>
  <r>
    <n v="1058"/>
    <d v="2023-01-14T00:00:00"/>
    <x v="0"/>
    <x v="3"/>
    <n v="5235.1400000000003"/>
    <n v="6"/>
    <x v="1"/>
    <n v="4987.71"/>
    <n v="4998.78"/>
    <s v="Returning"/>
    <n v="0.17"/>
    <s v="Cash"/>
    <s v="Retail"/>
    <s v="East-Bob"/>
  </r>
  <r>
    <n v="1067"/>
    <d v="2023-01-09T00:00:00"/>
    <x v="2"/>
    <x v="0"/>
    <n v="1875.71"/>
    <n v="48"/>
    <x v="3"/>
    <n v="210.63"/>
    <n v="533.58000000000004"/>
    <s v="New"/>
    <n v="0.04"/>
    <s v="Bank Transfer"/>
    <s v="Online"/>
    <s v="North-Charlie"/>
  </r>
  <r>
    <n v="1046"/>
    <d v="2023-02-09T00:00:00"/>
    <x v="2"/>
    <x v="3"/>
    <n v="9709.7000000000007"/>
    <n v="3"/>
    <x v="0"/>
    <n v="1216.1600000000001"/>
    <n v="1295.3699999999999"/>
    <s v="New"/>
    <n v="0.14000000000000001"/>
    <s v="Cash"/>
    <s v="Retail"/>
    <s v="East-Charlie"/>
  </r>
  <r>
    <n v="1024"/>
    <d v="2023-08-25T00:00:00"/>
    <x v="1"/>
    <x v="2"/>
    <n v="1221.7"/>
    <n v="42"/>
    <x v="3"/>
    <n v="1586.02"/>
    <n v="2047.13"/>
    <s v="New"/>
    <n v="0.25"/>
    <s v="Cash"/>
    <s v="Retail"/>
    <s v="South-David"/>
  </r>
  <r>
    <n v="1032"/>
    <d v="2023-10-08T00:00:00"/>
    <x v="3"/>
    <x v="3"/>
    <n v="4095.65"/>
    <n v="11"/>
    <x v="1"/>
    <n v="2025.67"/>
    <n v="2081.5500000000002"/>
    <s v="New"/>
    <n v="0.27"/>
    <s v="Bank Transfer"/>
    <s v="Online"/>
    <s v="East-Eve"/>
  </r>
  <r>
    <n v="1047"/>
    <d v="2023-12-25T00:00:00"/>
    <x v="1"/>
    <x v="0"/>
    <n v="7405.06"/>
    <n v="43"/>
    <x v="3"/>
    <n v="1249.17"/>
    <n v="1727.15"/>
    <s v="New"/>
    <n v="0.08"/>
    <s v="Cash"/>
    <s v="Retail"/>
    <s v="North-David"/>
  </r>
  <r>
    <n v="1086"/>
    <d v="2023-07-20T00:00:00"/>
    <x v="0"/>
    <x v="0"/>
    <n v="7075.09"/>
    <n v="17"/>
    <x v="1"/>
    <n v="1057.27"/>
    <n v="1366.62"/>
    <s v="New"/>
    <n v="0.21"/>
    <s v="Credit Card"/>
    <s v="Retail"/>
    <s v="North-Bob"/>
  </r>
  <r>
    <n v="1023"/>
    <d v="2023-09-03T00:00:00"/>
    <x v="1"/>
    <x v="2"/>
    <n v="4285.01"/>
    <n v="32"/>
    <x v="3"/>
    <n v="4775.04"/>
    <n v="4785.66"/>
    <s v="New"/>
    <n v="0.03"/>
    <s v="Cash"/>
    <s v="Online"/>
    <s v="South-David"/>
  </r>
  <r>
    <n v="1066"/>
    <d v="2023-10-05T00:00:00"/>
    <x v="4"/>
    <x v="2"/>
    <n v="3530.59"/>
    <n v="4"/>
    <x v="0"/>
    <n v="4596.68"/>
    <n v="5044.74"/>
    <s v="New"/>
    <n v="0.01"/>
    <s v="Bank Transfer"/>
    <s v="Online"/>
    <s v="South-Alice"/>
  </r>
  <r>
    <n v="1027"/>
    <d v="2023-08-23T00:00:00"/>
    <x v="0"/>
    <x v="3"/>
    <n v="4036.36"/>
    <n v="4"/>
    <x v="3"/>
    <n v="282.61"/>
    <n v="548.25"/>
    <s v="New"/>
    <n v="0.17"/>
    <s v="Credit Card"/>
    <s v="Online"/>
    <s v="East-Bob"/>
  </r>
  <r>
    <n v="1002"/>
    <d v="2023-01-04T00:00:00"/>
    <x v="0"/>
    <x v="3"/>
    <n v="2716.34"/>
    <n v="17"/>
    <x v="0"/>
    <n v="1727.12"/>
    <n v="1865.83"/>
    <s v="New"/>
    <n v="0.21"/>
    <s v="Cash"/>
    <s v="Online"/>
    <s v="East-Bob"/>
  </r>
  <r>
    <n v="1090"/>
    <d v="2023-06-03T00:00:00"/>
    <x v="3"/>
    <x v="0"/>
    <n v="2132.8000000000002"/>
    <n v="41"/>
    <x v="0"/>
    <n v="2055.4899999999998"/>
    <n v="2441.46"/>
    <s v="New"/>
    <n v="0.24"/>
    <s v="Credit Card"/>
    <s v="Online"/>
    <s v="North-Eve"/>
  </r>
  <r>
    <n v="1017"/>
    <d v="2023-01-29T00:00:00"/>
    <x v="2"/>
    <x v="2"/>
    <n v="4882.09"/>
    <n v="19"/>
    <x v="3"/>
    <n v="1233.1199999999999"/>
    <n v="1697.19"/>
    <s v="New"/>
    <n v="0.1"/>
    <s v="Credit Card"/>
    <s v="Online"/>
    <s v="South-Charlie"/>
  </r>
  <r>
    <n v="1033"/>
    <d v="2023-04-19T00:00:00"/>
    <x v="0"/>
    <x v="2"/>
    <n v="2758.48"/>
    <n v="5"/>
    <x v="0"/>
    <n v="3162.92"/>
    <n v="3409.93"/>
    <s v="New"/>
    <n v="0"/>
    <s v="Cash"/>
    <s v="Online"/>
    <s v="South-Bob"/>
  </r>
  <r>
    <n v="1009"/>
    <d v="2023-04-08T00:00:00"/>
    <x v="2"/>
    <x v="2"/>
    <n v="2945.87"/>
    <n v="32"/>
    <x v="2"/>
    <n v="3219.88"/>
    <n v="3384.5"/>
    <s v="Returning"/>
    <n v="0.14000000000000001"/>
    <s v="Cash"/>
    <s v="Retail"/>
    <s v="South-Charlie"/>
  </r>
  <r>
    <n v="1043"/>
    <d v="2023-08-03T00:00:00"/>
    <x v="1"/>
    <x v="3"/>
    <n v="6601.89"/>
    <n v="22"/>
    <x v="3"/>
    <n v="4260"/>
    <n v="4656.58"/>
    <s v="New"/>
    <n v="0"/>
    <s v="Bank Transfer"/>
    <s v="Online"/>
    <s v="East-David"/>
  </r>
  <r>
    <n v="1048"/>
    <d v="2023-10-20T00:00:00"/>
    <x v="4"/>
    <x v="2"/>
    <n v="9688.52"/>
    <n v="6"/>
    <x v="3"/>
    <n v="3717.3"/>
    <n v="4061.37"/>
    <s v="New"/>
    <n v="0.03"/>
    <s v="Bank Transfer"/>
    <s v="Retail"/>
    <s v="South-Alice"/>
  </r>
  <r>
    <n v="1039"/>
    <d v="2023-03-16T00:00:00"/>
    <x v="3"/>
    <x v="0"/>
    <n v="6076.01"/>
    <n v="35"/>
    <x v="0"/>
    <n v="2735.74"/>
    <n v="3181.23"/>
    <s v="New"/>
    <n v="0.1"/>
    <s v="Credit Card"/>
    <s v="Retail"/>
    <s v="North-Eve"/>
  </r>
  <r>
    <n v="1093"/>
    <d v="2023-11-22T00:00:00"/>
    <x v="2"/>
    <x v="0"/>
    <n v="862.1"/>
    <n v="22"/>
    <x v="0"/>
    <n v="3285.25"/>
    <n v="3634.58"/>
    <s v="New"/>
    <n v="0.13"/>
    <s v="Bank Transfer"/>
    <s v="Online"/>
    <s v="North-Charlie"/>
  </r>
  <r>
    <n v="1042"/>
    <d v="2023-05-26T00:00:00"/>
    <x v="0"/>
    <x v="3"/>
    <n v="848.28"/>
    <n v="1"/>
    <x v="3"/>
    <n v="1406.24"/>
    <n v="1535.57"/>
    <s v="New"/>
    <n v="0.08"/>
    <s v="Credit Card"/>
    <s v="Retail"/>
    <s v="East-Bob"/>
  </r>
  <r>
    <n v="1026"/>
    <d v="2023-05-08T00:00:00"/>
    <x v="2"/>
    <x v="1"/>
    <n v="9519.09"/>
    <n v="20"/>
    <x v="2"/>
    <n v="2985.63"/>
    <n v="3452.14"/>
    <s v="New"/>
    <n v="0.17"/>
    <s v="Credit Card"/>
    <s v="Retail"/>
    <s v="West-Charlie"/>
  </r>
  <r>
    <n v="1099"/>
    <d v="2023-12-07T00:00:00"/>
    <x v="0"/>
    <x v="3"/>
    <n v="3043.18"/>
    <n v="22"/>
    <x v="0"/>
    <n v="2471.67"/>
    <n v="2533.04"/>
    <s v="Returning"/>
    <n v="0.02"/>
    <s v="Bank Transfer"/>
    <s v="Retail"/>
    <s v="East-Bob"/>
  </r>
  <r>
    <n v="1050"/>
    <d v="2023-02-11T00:00:00"/>
    <x v="2"/>
    <x v="1"/>
    <n v="1011.46"/>
    <n v="48"/>
    <x v="0"/>
    <n v="710.06"/>
    <n v="851.35"/>
    <s v="Returning"/>
    <n v="0.04"/>
    <s v="Bank Transfer"/>
    <s v="Online"/>
    <s v="West-Charlie"/>
  </r>
  <r>
    <n v="1025"/>
    <d v="2023-12-22T00:00:00"/>
    <x v="0"/>
    <x v="2"/>
    <n v="6030.54"/>
    <n v="11"/>
    <x v="1"/>
    <n v="1250.5899999999999"/>
    <n v="1515.49"/>
    <s v="Returning"/>
    <n v="0.21"/>
    <s v="Bank Transfer"/>
    <s v="Retail"/>
    <s v="South-Bob"/>
  </r>
  <r>
    <n v="1024"/>
    <d v="2023-02-10T00:00:00"/>
    <x v="1"/>
    <x v="3"/>
    <n v="6274.12"/>
    <n v="13"/>
    <x v="2"/>
    <n v="1493.88"/>
    <n v="1781.09"/>
    <s v="New"/>
    <n v="0.04"/>
    <s v="Cash"/>
    <s v="Retail"/>
    <s v="East-David"/>
  </r>
  <r>
    <n v="1013"/>
    <d v="2023-02-03T00:00:00"/>
    <x v="0"/>
    <x v="0"/>
    <n v="6520.2"/>
    <n v="42"/>
    <x v="2"/>
    <n v="4625.33"/>
    <n v="4642.83"/>
    <s v="New"/>
    <n v="0.19"/>
    <s v="Credit Card"/>
    <s v="Online"/>
    <s v="North-Bob"/>
  </r>
  <r>
    <n v="1060"/>
    <d v="2023-01-17T00:00:00"/>
    <x v="0"/>
    <x v="2"/>
    <n v="2747.28"/>
    <n v="3"/>
    <x v="3"/>
    <n v="1190.4100000000001"/>
    <n v="1582.89"/>
    <s v="New"/>
    <n v="0.02"/>
    <s v="Credit Card"/>
    <s v="Retail"/>
    <s v="South-Bob"/>
  </r>
  <r>
    <n v="1007"/>
    <d v="2023-06-14T00:00:00"/>
    <x v="4"/>
    <x v="0"/>
    <n v="249.6"/>
    <n v="9"/>
    <x v="2"/>
    <n v="1481.76"/>
    <n v="1668.95"/>
    <s v="Returning"/>
    <n v="0.12"/>
    <s v="Credit Card"/>
    <s v="Retail"/>
    <s v="North-Alice"/>
  </r>
  <r>
    <n v="1057"/>
    <d v="2023-06-02T00:00:00"/>
    <x v="0"/>
    <x v="2"/>
    <n v="9653.65"/>
    <n v="12"/>
    <x v="3"/>
    <n v="1878.3"/>
    <n v="2087.4499999999998"/>
    <s v="New"/>
    <n v="0.05"/>
    <s v="Bank Transfer"/>
    <s v="Retail"/>
    <s v="South-Bob"/>
  </r>
  <r>
    <n v="1036"/>
    <d v="2023-03-17T00:00:00"/>
    <x v="4"/>
    <x v="3"/>
    <n v="2583.84"/>
    <n v="23"/>
    <x v="1"/>
    <n v="3335.53"/>
    <n v="3742.12"/>
    <s v="New"/>
    <n v="0.03"/>
    <s v="Bank Transfer"/>
    <s v="Retail"/>
    <s v="East-Alice"/>
  </r>
  <r>
    <n v="1045"/>
    <d v="2023-03-28T00:00:00"/>
    <x v="3"/>
    <x v="1"/>
    <n v="6792.66"/>
    <n v="14"/>
    <x v="2"/>
    <n v="635.28"/>
    <n v="831.13"/>
    <s v="Returning"/>
    <n v="0.17"/>
    <s v="Bank Transfer"/>
    <s v="Retail"/>
    <s v="West-Eve"/>
  </r>
  <r>
    <n v="1020"/>
    <d v="2023-04-27T00:00:00"/>
    <x v="4"/>
    <x v="2"/>
    <n v="7095.64"/>
    <n v="33"/>
    <x v="0"/>
    <n v="4772.03"/>
    <n v="4805.17"/>
    <s v="Returning"/>
    <n v="0.28000000000000003"/>
    <s v="Bank Transfer"/>
    <s v="Online"/>
    <s v="South-Alice"/>
  </r>
  <r>
    <n v="1065"/>
    <d v="2023-12-28T00:00:00"/>
    <x v="1"/>
    <x v="1"/>
    <n v="6139.07"/>
    <n v="18"/>
    <x v="1"/>
    <n v="4334.58"/>
    <n v="4431.04"/>
    <s v="New"/>
    <n v="0.02"/>
    <s v="Bank Transfer"/>
    <s v="Retail"/>
    <s v="West-David"/>
  </r>
  <r>
    <n v="1008"/>
    <d v="2023-12-08T00:00:00"/>
    <x v="4"/>
    <x v="2"/>
    <n v="3197.78"/>
    <n v="49"/>
    <x v="3"/>
    <n v="2907.22"/>
    <n v="3385.61"/>
    <s v="New"/>
    <n v="0.13"/>
    <s v="Cash"/>
    <s v="Online"/>
    <s v="South-Alice"/>
  </r>
  <r>
    <n v="1016"/>
    <d v="2023-01-27T00:00:00"/>
    <x v="3"/>
    <x v="0"/>
    <n v="2783.85"/>
    <n v="41"/>
    <x v="1"/>
    <n v="3386.49"/>
    <n v="3430.99"/>
    <s v="New"/>
    <n v="0.21"/>
    <s v="Bank Transfer"/>
    <s v="Retail"/>
    <s v="North-Eve"/>
  </r>
  <r>
    <n v="1014"/>
    <d v="2023-11-09T00:00:00"/>
    <x v="1"/>
    <x v="0"/>
    <n v="6016.92"/>
    <n v="9"/>
    <x v="3"/>
    <n v="132.47"/>
    <n v="316.39"/>
    <s v="New"/>
    <n v="0.14000000000000001"/>
    <s v="Credit Card"/>
    <s v="Online"/>
    <s v="North-David"/>
  </r>
  <r>
    <n v="1076"/>
    <d v="2023-10-14T00:00:00"/>
    <x v="2"/>
    <x v="2"/>
    <n v="8674.35"/>
    <n v="23"/>
    <x v="1"/>
    <n v="1727.78"/>
    <n v="1984.34"/>
    <s v="Returning"/>
    <n v="0.24"/>
    <s v="Bank Transfer"/>
    <s v="Online"/>
    <s v="South-Charlie"/>
  </r>
  <r>
    <n v="1087"/>
    <d v="2023-05-14T00:00:00"/>
    <x v="2"/>
    <x v="1"/>
    <n v="9472.66"/>
    <n v="10"/>
    <x v="3"/>
    <n v="3988.52"/>
    <n v="4240.2299999999996"/>
    <s v="New"/>
    <n v="0.05"/>
    <s v="Credit Card"/>
    <s v="Online"/>
    <s v="West-Charlie"/>
  </r>
  <r>
    <n v="1015"/>
    <d v="2023-08-07T00:00:00"/>
    <x v="4"/>
    <x v="3"/>
    <n v="1148.47"/>
    <n v="19"/>
    <x v="2"/>
    <n v="433.54"/>
    <n v="445.48"/>
    <s v="New"/>
    <n v="0.28999999999999998"/>
    <s v="Bank Transfer"/>
    <s v="Retail"/>
    <s v="East-Alice"/>
  </r>
  <r>
    <n v="1092"/>
    <d v="2023-06-17T00:00:00"/>
    <x v="4"/>
    <x v="3"/>
    <n v="1632.8"/>
    <n v="47"/>
    <x v="0"/>
    <n v="1447.45"/>
    <n v="1703.02"/>
    <s v="Returning"/>
    <n v="0.12"/>
    <s v="Bank Transfer"/>
    <s v="Retail"/>
    <s v="East-Alice"/>
  </r>
  <r>
    <n v="1098"/>
    <d v="2023-04-08T00:00:00"/>
    <x v="3"/>
    <x v="0"/>
    <n v="9452.89"/>
    <n v="5"/>
    <x v="3"/>
    <n v="2947.22"/>
    <n v="3145.27"/>
    <s v="New"/>
    <n v="0.1"/>
    <s v="Credit Card"/>
    <s v="Retail"/>
    <s v="North-Eve"/>
  </r>
  <r>
    <n v="1066"/>
    <d v="2023-09-25T00:00:00"/>
    <x v="3"/>
    <x v="3"/>
    <n v="7391.7"/>
    <n v="47"/>
    <x v="1"/>
    <n v="1319.24"/>
    <n v="1805.56"/>
    <s v="New"/>
    <n v="0.26"/>
    <s v="Credit Card"/>
    <s v="Retail"/>
    <s v="East-Eve"/>
  </r>
  <r>
    <n v="1032"/>
    <d v="2023-08-25T00:00:00"/>
    <x v="0"/>
    <x v="0"/>
    <n v="8841.64"/>
    <n v="23"/>
    <x v="3"/>
    <n v="4673.1899999999996"/>
    <n v="4761.18"/>
    <s v="Returning"/>
    <n v="0.17"/>
    <s v="Credit Card"/>
    <s v="Retail"/>
    <s v="North-Bob"/>
  </r>
  <r>
    <n v="1087"/>
    <d v="2023-11-05T00:00:00"/>
    <x v="3"/>
    <x v="3"/>
    <n v="2106.06"/>
    <n v="30"/>
    <x v="3"/>
    <n v="698.74"/>
    <n v="882.28"/>
    <s v="Returning"/>
    <n v="0.15"/>
    <s v="Credit Card"/>
    <s v="Online"/>
    <s v="East-Eve"/>
  </r>
  <r>
    <n v="1063"/>
    <d v="2023-06-22T00:00:00"/>
    <x v="0"/>
    <x v="2"/>
    <n v="5917.1"/>
    <n v="25"/>
    <x v="3"/>
    <n v="3997.1"/>
    <n v="4212.6499999999996"/>
    <s v="New"/>
    <n v="0.22"/>
    <s v="Cash"/>
    <s v="Online"/>
    <s v="South-Bob"/>
  </r>
  <r>
    <n v="1086"/>
    <d v="2023-07-09T00:00:00"/>
    <x v="1"/>
    <x v="0"/>
    <n v="7041.28"/>
    <n v="28"/>
    <x v="1"/>
    <n v="2564.35"/>
    <n v="2765.79"/>
    <s v="Returning"/>
    <n v="0.17"/>
    <s v="Credit Card"/>
    <s v="Online"/>
    <s v="North-David"/>
  </r>
  <r>
    <n v="1051"/>
    <d v="2023-05-02T00:00:00"/>
    <x v="4"/>
    <x v="0"/>
    <n v="6833.11"/>
    <n v="34"/>
    <x v="0"/>
    <n v="3764.14"/>
    <n v="4100.3999999999996"/>
    <s v="Returning"/>
    <n v="0.05"/>
    <s v="Bank Transfer"/>
    <s v="Retail"/>
    <s v="North-Alice"/>
  </r>
  <r>
    <n v="1025"/>
    <d v="2023-02-15T00:00:00"/>
    <x v="1"/>
    <x v="2"/>
    <n v="4140.7"/>
    <n v="45"/>
    <x v="2"/>
    <n v="1588.04"/>
    <n v="1703.64"/>
    <s v="New"/>
    <n v="0.2"/>
    <s v="Bank Transfer"/>
    <s v="Retail"/>
    <s v="South-David"/>
  </r>
  <r>
    <n v="1058"/>
    <d v="2023-03-05T00:00:00"/>
    <x v="3"/>
    <x v="0"/>
    <n v="252.41"/>
    <n v="48"/>
    <x v="0"/>
    <n v="2596.7199999999998"/>
    <n v="2715.05"/>
    <s v="Returning"/>
    <n v="0.04"/>
    <s v="Cash"/>
    <s v="Online"/>
    <s v="North-Eve"/>
  </r>
  <r>
    <n v="1063"/>
    <d v="2023-05-10T00:00:00"/>
    <x v="1"/>
    <x v="3"/>
    <n v="5870.97"/>
    <n v="47"/>
    <x v="3"/>
    <n v="4291.33"/>
    <n v="4658.6400000000003"/>
    <s v="New"/>
    <n v="0.24"/>
    <s v="Credit Card"/>
    <s v="Retail"/>
    <s v="East-David"/>
  </r>
  <r>
    <n v="1062"/>
    <d v="2023-11-06T00:00:00"/>
    <x v="1"/>
    <x v="3"/>
    <n v="2605.71"/>
    <n v="25"/>
    <x v="1"/>
    <n v="2361.0500000000002"/>
    <n v="2616.19"/>
    <s v="New"/>
    <n v="0.3"/>
    <s v="Bank Transfer"/>
    <s v="Retail"/>
    <s v="East-David"/>
  </r>
  <r>
    <n v="1022"/>
    <d v="2023-12-29T00:00:00"/>
    <x v="1"/>
    <x v="0"/>
    <n v="4557.5200000000004"/>
    <n v="10"/>
    <x v="0"/>
    <n v="1830.61"/>
    <n v="2044.04"/>
    <s v="New"/>
    <n v="0.11"/>
    <s v="Cash"/>
    <s v="Online"/>
    <s v="North-David"/>
  </r>
  <r>
    <n v="1058"/>
    <d v="2023-07-12T00:00:00"/>
    <x v="3"/>
    <x v="3"/>
    <n v="9580.0499999999993"/>
    <n v="14"/>
    <x v="3"/>
    <n v="2703.97"/>
    <n v="2796.88"/>
    <s v="New"/>
    <n v="0.13"/>
    <s v="Bank Transfer"/>
    <s v="Online"/>
    <s v="East-Eve"/>
  </r>
  <r>
    <n v="1058"/>
    <d v="2023-11-03T00:00:00"/>
    <x v="1"/>
    <x v="1"/>
    <n v="4050.45"/>
    <n v="42"/>
    <x v="2"/>
    <n v="3600.95"/>
    <n v="3702.84"/>
    <s v="Returning"/>
    <n v="0.01"/>
    <s v="Cash"/>
    <s v="Retail"/>
    <s v="West-David"/>
  </r>
  <r>
    <n v="1086"/>
    <d v="2023-06-30T00:00:00"/>
    <x v="0"/>
    <x v="0"/>
    <n v="8414.0400000000009"/>
    <n v="46"/>
    <x v="2"/>
    <n v="2245.64"/>
    <n v="2260.81"/>
    <s v="New"/>
    <n v="0"/>
    <s v="Cash"/>
    <s v="Retail"/>
    <s v="North-Bob"/>
  </r>
  <r>
    <n v="1049"/>
    <d v="2023-10-19T00:00:00"/>
    <x v="3"/>
    <x v="2"/>
    <n v="1966.55"/>
    <n v="30"/>
    <x v="2"/>
    <n v="4697.4399999999996"/>
    <n v="4752.24"/>
    <s v="New"/>
    <n v="0.28000000000000003"/>
    <s v="Credit Card"/>
    <s v="Online"/>
    <s v="South-Eve"/>
  </r>
  <r>
    <n v="1052"/>
    <d v="2023-10-09T00:00:00"/>
    <x v="1"/>
    <x v="1"/>
    <n v="6757.36"/>
    <n v="41"/>
    <x v="3"/>
    <n v="1509.98"/>
    <n v="1792.83"/>
    <s v="New"/>
    <n v="0.04"/>
    <s v="Cash"/>
    <s v="Retail"/>
    <s v="West-David"/>
  </r>
  <r>
    <n v="1042"/>
    <d v="2023-01-29T00:00:00"/>
    <x v="3"/>
    <x v="0"/>
    <n v="9772.3700000000008"/>
    <n v="25"/>
    <x v="1"/>
    <n v="2403.54"/>
    <n v="2850.56"/>
    <s v="New"/>
    <n v="0.13"/>
    <s v="Bank Transfer"/>
    <s v="Online"/>
    <s v="North-Eve"/>
  </r>
  <r>
    <n v="1070"/>
    <d v="2023-05-29T00:00:00"/>
    <x v="2"/>
    <x v="2"/>
    <n v="1108.74"/>
    <n v="14"/>
    <x v="0"/>
    <n v="3796.79"/>
    <n v="3947.5"/>
    <s v="Returning"/>
    <n v="0.24"/>
    <s v="Bank Transfer"/>
    <s v="Online"/>
    <s v="South-Charlie"/>
  </r>
  <r>
    <n v="1015"/>
    <d v="2023-09-24T00:00:00"/>
    <x v="0"/>
    <x v="3"/>
    <n v="182.37"/>
    <n v="35"/>
    <x v="2"/>
    <n v="3461.15"/>
    <n v="3631.75"/>
    <s v="Returning"/>
    <n v="0.27"/>
    <s v="Credit Card"/>
    <s v="Online"/>
    <s v="East-Bob"/>
  </r>
  <r>
    <n v="1054"/>
    <d v="2023-10-23T00:00:00"/>
    <x v="1"/>
    <x v="2"/>
    <n v="4392.47"/>
    <n v="48"/>
    <x v="3"/>
    <n v="4325.0200000000004"/>
    <n v="4391.67"/>
    <s v="Returning"/>
    <n v="0.16"/>
    <s v="Credit Card"/>
    <s v="Retail"/>
    <s v="South-David"/>
  </r>
  <r>
    <n v="1060"/>
    <d v="2023-01-11T00:00:00"/>
    <x v="2"/>
    <x v="1"/>
    <n v="1016.99"/>
    <n v="34"/>
    <x v="3"/>
    <n v="4984.21"/>
    <n v="5184.6400000000003"/>
    <s v="New"/>
    <n v="0.17"/>
    <s v="Cash"/>
    <s v="Online"/>
    <s v="West-Charlie"/>
  </r>
  <r>
    <n v="1097"/>
    <d v="2023-06-13T00:00:00"/>
    <x v="2"/>
    <x v="3"/>
    <n v="7509.01"/>
    <n v="10"/>
    <x v="0"/>
    <n v="2162.9499999999998"/>
    <n v="2191.19"/>
    <s v="Returning"/>
    <n v="0.2"/>
    <s v="Credit Card"/>
    <s v="Online"/>
    <s v="East-Charlie"/>
  </r>
  <r>
    <n v="1008"/>
    <d v="2023-04-23T00:00:00"/>
    <x v="3"/>
    <x v="0"/>
    <n v="9154.0300000000007"/>
    <n v="35"/>
    <x v="2"/>
    <n v="600.20000000000005"/>
    <n v="1059.82"/>
    <s v="Returning"/>
    <n v="0.28999999999999998"/>
    <s v="Bank Transfer"/>
    <s v="Retail"/>
    <s v="North-Eve"/>
  </r>
  <r>
    <n v="1053"/>
    <d v="2023-07-06T00:00:00"/>
    <x v="2"/>
    <x v="3"/>
    <n v="4396.8100000000004"/>
    <n v="11"/>
    <x v="3"/>
    <n v="200.56"/>
    <n v="540.38"/>
    <s v="New"/>
    <n v="0.18"/>
    <s v="Bank Transfer"/>
    <s v="Online"/>
    <s v="East-Charlie"/>
  </r>
  <r>
    <n v="1060"/>
    <d v="2023-10-22T00:00:00"/>
    <x v="0"/>
    <x v="0"/>
    <n v="2661.25"/>
    <n v="11"/>
    <x v="0"/>
    <n v="3648.04"/>
    <n v="4143.51"/>
    <s v="Returning"/>
    <n v="0.17"/>
    <s v="Credit Card"/>
    <s v="Retail"/>
    <s v="North-Bob"/>
  </r>
  <r>
    <n v="1005"/>
    <d v="2023-08-20T00:00:00"/>
    <x v="0"/>
    <x v="0"/>
    <n v="4400.59"/>
    <n v="21"/>
    <x v="1"/>
    <n v="4376.37"/>
    <n v="4818.95"/>
    <s v="New"/>
    <n v="0"/>
    <s v="Credit Card"/>
    <s v="Retail"/>
    <s v="North-Bob"/>
  </r>
  <r>
    <n v="1068"/>
    <d v="2023-08-15T00:00:00"/>
    <x v="4"/>
    <x v="2"/>
    <n v="7262.13"/>
    <n v="21"/>
    <x v="1"/>
    <n v="1142.53"/>
    <n v="1384.3"/>
    <s v="Returning"/>
    <n v="0.02"/>
    <s v="Credit Card"/>
    <s v="Retail"/>
    <s v="South-Alice"/>
  </r>
  <r>
    <n v="1006"/>
    <d v="2023-11-06T00:00:00"/>
    <x v="0"/>
    <x v="2"/>
    <n v="189.64"/>
    <n v="22"/>
    <x v="1"/>
    <n v="834.32"/>
    <n v="1098.97"/>
    <s v="Returning"/>
    <n v="0.17"/>
    <s v="Cash"/>
    <s v="Online"/>
    <s v="South-Bob"/>
  </r>
  <r>
    <n v="1096"/>
    <d v="2023-04-08T00:00:00"/>
    <x v="2"/>
    <x v="2"/>
    <n v="5935.59"/>
    <n v="45"/>
    <x v="2"/>
    <n v="357.92"/>
    <n v="461.3"/>
    <s v="Returning"/>
    <n v="0.28000000000000003"/>
    <s v="Cash"/>
    <s v="Online"/>
    <s v="South-Charlie"/>
  </r>
  <r>
    <n v="1094"/>
    <d v="2023-02-24T00:00:00"/>
    <x v="0"/>
    <x v="1"/>
    <n v="6171.59"/>
    <n v="7"/>
    <x v="0"/>
    <n v="4122.38"/>
    <n v="4358.78"/>
    <s v="Returning"/>
    <n v="0.26"/>
    <s v="Bank Transfer"/>
    <s v="Retail"/>
    <s v="West-Bob"/>
  </r>
  <r>
    <n v="1047"/>
    <d v="2023-04-21T00:00:00"/>
    <x v="3"/>
    <x v="1"/>
    <n v="6413.11"/>
    <n v="17"/>
    <x v="0"/>
    <n v="1591.34"/>
    <n v="2043.82"/>
    <s v="New"/>
    <n v="0.28999999999999998"/>
    <s v="Cash"/>
    <s v="Retail"/>
    <s v="West-Eve"/>
  </r>
  <r>
    <n v="1099"/>
    <d v="2023-06-01T00:00:00"/>
    <x v="4"/>
    <x v="2"/>
    <n v="2496.02"/>
    <n v="2"/>
    <x v="3"/>
    <n v="2038.4"/>
    <n v="2073.3200000000002"/>
    <s v="New"/>
    <n v="0.16"/>
    <s v="Cash"/>
    <s v="Retail"/>
    <s v="South-Alice"/>
  </r>
  <r>
    <n v="1055"/>
    <d v="2023-09-03T00:00:00"/>
    <x v="2"/>
    <x v="1"/>
    <n v="7169.12"/>
    <n v="12"/>
    <x v="3"/>
    <n v="2538.61"/>
    <n v="2971.75"/>
    <s v="Returning"/>
    <n v="0.24"/>
    <s v="Cash"/>
    <s v="Online"/>
    <s v="West-Charlie"/>
  </r>
  <r>
    <n v="1040"/>
    <d v="2023-03-10T00:00:00"/>
    <x v="4"/>
    <x v="3"/>
    <n v="1004.78"/>
    <n v="42"/>
    <x v="3"/>
    <n v="4205.29"/>
    <n v="4382.3500000000004"/>
    <s v="New"/>
    <n v="0.25"/>
    <s v="Cash"/>
    <s v="Retail"/>
    <s v="East-Alice"/>
  </r>
  <r>
    <n v="1052"/>
    <d v="2023-11-08T00:00:00"/>
    <x v="2"/>
    <x v="3"/>
    <n v="2072.7800000000002"/>
    <n v="18"/>
    <x v="0"/>
    <n v="3271.62"/>
    <n v="3722.38"/>
    <s v="Returning"/>
    <n v="0.19"/>
    <s v="Bank Transfer"/>
    <s v="Retail"/>
    <s v="East-Charlie"/>
  </r>
  <r>
    <n v="1016"/>
    <d v="2023-10-16T00:00:00"/>
    <x v="3"/>
    <x v="1"/>
    <n v="8786.9500000000007"/>
    <n v="11"/>
    <x v="3"/>
    <n v="3094.57"/>
    <n v="3565.6"/>
    <s v="Returning"/>
    <n v="0.1"/>
    <s v="Credit Card"/>
    <s v="Retail"/>
    <s v="West-Eve"/>
  </r>
  <r>
    <n v="1013"/>
    <d v="2023-09-07T00:00:00"/>
    <x v="4"/>
    <x v="1"/>
    <n v="7413.36"/>
    <n v="16"/>
    <x v="0"/>
    <n v="919.58"/>
    <n v="1258.3"/>
    <s v="Returning"/>
    <n v="0.14000000000000001"/>
    <s v="Bank Transfer"/>
    <s v="Online"/>
    <s v="West-Alice"/>
  </r>
  <r>
    <n v="1030"/>
    <d v="2023-02-05T00:00:00"/>
    <x v="1"/>
    <x v="3"/>
    <n v="236.08"/>
    <n v="49"/>
    <x v="0"/>
    <n v="2590.29"/>
    <n v="2925.86"/>
    <s v="Returning"/>
    <n v="0.26"/>
    <s v="Cash"/>
    <s v="Retail"/>
    <s v="East-David"/>
  </r>
  <r>
    <n v="1019"/>
    <d v="2023-08-27T00:00:00"/>
    <x v="2"/>
    <x v="0"/>
    <n v="2558.92"/>
    <n v="18"/>
    <x v="1"/>
    <n v="3591.14"/>
    <n v="3822.99"/>
    <s v="Returning"/>
    <n v="0.09"/>
    <s v="Credit Card"/>
    <s v="Online"/>
    <s v="North-Charlie"/>
  </r>
  <r>
    <n v="1017"/>
    <d v="2023-05-28T00:00:00"/>
    <x v="1"/>
    <x v="3"/>
    <n v="2222.62"/>
    <n v="35"/>
    <x v="3"/>
    <n v="4867.6400000000003"/>
    <n v="5287.05"/>
    <s v="Returning"/>
    <n v="0.28000000000000003"/>
    <s v="Credit Card"/>
    <s v="Online"/>
    <s v="East-David"/>
  </r>
  <r>
    <n v="1063"/>
    <d v="2023-08-15T00:00:00"/>
    <x v="4"/>
    <x v="3"/>
    <n v="2780.98"/>
    <n v="26"/>
    <x v="1"/>
    <n v="1046.96"/>
    <n v="1528.15"/>
    <s v="New"/>
    <n v="7.0000000000000007E-2"/>
    <s v="Credit Card"/>
    <s v="Retail"/>
    <s v="East-Alice"/>
  </r>
  <r>
    <n v="1019"/>
    <d v="2023-09-01T00:00:00"/>
    <x v="1"/>
    <x v="1"/>
    <n v="2550.84"/>
    <n v="16"/>
    <x v="2"/>
    <n v="97.24"/>
    <n v="487.03"/>
    <s v="New"/>
    <n v="0.22"/>
    <s v="Bank Transfer"/>
    <s v="Retail"/>
    <s v="West-David"/>
  </r>
  <r>
    <n v="1092"/>
    <d v="2023-12-03T00:00:00"/>
    <x v="1"/>
    <x v="3"/>
    <n v="719.01"/>
    <n v="6"/>
    <x v="2"/>
    <n v="422.74"/>
    <n v="737.49"/>
    <s v="Returning"/>
    <n v="0.19"/>
    <s v="Credit Card"/>
    <s v="Retail"/>
    <s v="East-David"/>
  </r>
  <r>
    <n v="1058"/>
    <d v="2023-12-31T00:00:00"/>
    <x v="4"/>
    <x v="1"/>
    <n v="4643.51"/>
    <n v="44"/>
    <x v="2"/>
    <n v="1910.47"/>
    <n v="2217.8000000000002"/>
    <s v="New"/>
    <n v="0.22"/>
    <s v="Bank Transfer"/>
    <s v="Online"/>
    <s v="West-Alice"/>
  </r>
  <r>
    <n v="1055"/>
    <d v="2023-07-20T00:00:00"/>
    <x v="3"/>
    <x v="1"/>
    <n v="7354.06"/>
    <n v="43"/>
    <x v="0"/>
    <n v="4111.7"/>
    <n v="4537.9399999999996"/>
    <s v="Returning"/>
    <n v="0.13"/>
    <s v="Bank Transfer"/>
    <s v="Online"/>
    <s v="West-Eve"/>
  </r>
  <r>
    <n v="1090"/>
    <d v="2023-06-03T00:00:00"/>
    <x v="1"/>
    <x v="2"/>
    <n v="6106.64"/>
    <n v="47"/>
    <x v="0"/>
    <n v="85.35"/>
    <n v="360.54"/>
    <s v="New"/>
    <n v="0.28000000000000003"/>
    <s v="Cash"/>
    <s v="Online"/>
    <s v="South-David"/>
  </r>
  <r>
    <n v="1090"/>
    <d v="2023-03-14T00:00:00"/>
    <x v="1"/>
    <x v="3"/>
    <n v="6761.43"/>
    <n v="47"/>
    <x v="0"/>
    <n v="2310.8200000000002"/>
    <n v="2714.71"/>
    <s v="New"/>
    <n v="0.19"/>
    <s v="Cash"/>
    <s v="Retail"/>
    <s v="East-David"/>
  </r>
  <r>
    <n v="1062"/>
    <d v="2023-07-20T00:00:00"/>
    <x v="3"/>
    <x v="0"/>
    <n v="903.38"/>
    <n v="48"/>
    <x v="3"/>
    <n v="1679.69"/>
    <n v="1939.04"/>
    <s v="New"/>
    <n v="0.09"/>
    <s v="Credit Card"/>
    <s v="Online"/>
    <s v="North-Eve"/>
  </r>
  <r>
    <n v="1023"/>
    <d v="2023-10-23T00:00:00"/>
    <x v="1"/>
    <x v="2"/>
    <n v="9519.76"/>
    <n v="42"/>
    <x v="1"/>
    <n v="309.77999999999997"/>
    <n v="350.38"/>
    <s v="Returning"/>
    <n v="0.19"/>
    <s v="Credit Card"/>
    <s v="Retail"/>
    <s v="South-David"/>
  </r>
  <r>
    <n v="1009"/>
    <d v="2023-01-17T00:00:00"/>
    <x v="1"/>
    <x v="1"/>
    <n v="8401.07"/>
    <n v="12"/>
    <x v="0"/>
    <n v="2278.67"/>
    <n v="2476.8000000000002"/>
    <s v="New"/>
    <n v="0.09"/>
    <s v="Cash"/>
    <s v="Retail"/>
    <s v="West-David"/>
  </r>
  <r>
    <n v="1012"/>
    <d v="2023-05-09T00:00:00"/>
    <x v="1"/>
    <x v="1"/>
    <n v="8070.39"/>
    <n v="13"/>
    <x v="1"/>
    <n v="1311.01"/>
    <n v="1538.79"/>
    <s v="Returning"/>
    <n v="0.09"/>
    <s v="Bank Transfer"/>
    <s v="Retail"/>
    <s v="West-David"/>
  </r>
  <r>
    <n v="1001"/>
    <d v="2023-08-05T00:00:00"/>
    <x v="0"/>
    <x v="0"/>
    <n v="8247.5400000000009"/>
    <n v="4"/>
    <x v="1"/>
    <n v="1791.83"/>
    <n v="1871.22"/>
    <s v="Returning"/>
    <n v="0.12"/>
    <s v="Bank Transfer"/>
    <s v="Online"/>
    <s v="North-Bob"/>
  </r>
  <r>
    <n v="1058"/>
    <d v="2023-03-02T00:00:00"/>
    <x v="3"/>
    <x v="1"/>
    <n v="9333.83"/>
    <n v="39"/>
    <x v="1"/>
    <n v="3542.8"/>
    <n v="3603.02"/>
    <s v="Returning"/>
    <n v="0.26"/>
    <s v="Cash"/>
    <s v="Online"/>
    <s v="West-Eve"/>
  </r>
  <r>
    <n v="1001"/>
    <d v="2023-04-14T00:00:00"/>
    <x v="1"/>
    <x v="3"/>
    <n v="5488.11"/>
    <n v="2"/>
    <x v="3"/>
    <n v="2631.68"/>
    <n v="2904.06"/>
    <s v="New"/>
    <n v="0.15"/>
    <s v="Bank Transfer"/>
    <s v="Online"/>
    <s v="East-David"/>
  </r>
  <r>
    <n v="1034"/>
    <d v="2023-02-11T00:00:00"/>
    <x v="3"/>
    <x v="2"/>
    <n v="2082.79"/>
    <n v="26"/>
    <x v="3"/>
    <n v="667"/>
    <n v="718.72"/>
    <s v="New"/>
    <n v="0.2"/>
    <s v="Cash"/>
    <s v="Retail"/>
    <s v="South-Eve"/>
  </r>
  <r>
    <n v="1096"/>
    <d v="2023-01-25T00:00:00"/>
    <x v="2"/>
    <x v="1"/>
    <n v="6206.16"/>
    <n v="27"/>
    <x v="2"/>
    <n v="4809"/>
    <n v="4967.4399999999996"/>
    <s v="New"/>
    <n v="0.12"/>
    <s v="Cash"/>
    <s v="Online"/>
    <s v="West-Charlie"/>
  </r>
  <r>
    <n v="1048"/>
    <d v="2023-02-08T00:00:00"/>
    <x v="2"/>
    <x v="1"/>
    <n v="7454.53"/>
    <n v="27"/>
    <x v="2"/>
    <n v="3197.76"/>
    <n v="3572.61"/>
    <s v="Returning"/>
    <n v="0.08"/>
    <s v="Credit Card"/>
    <s v="Online"/>
    <s v="West-Charlie"/>
  </r>
  <r>
    <n v="1089"/>
    <d v="2023-10-18T00:00:00"/>
    <x v="1"/>
    <x v="0"/>
    <n v="7405.38"/>
    <n v="15"/>
    <x v="1"/>
    <n v="3841.05"/>
    <n v="4323.62"/>
    <s v="Returning"/>
    <n v="0.28999999999999998"/>
    <s v="Credit Card"/>
    <s v="Retail"/>
    <s v="North-David"/>
  </r>
  <r>
    <n v="1001"/>
    <d v="2023-05-11T00:00:00"/>
    <x v="3"/>
    <x v="3"/>
    <n v="5262.35"/>
    <n v="8"/>
    <x v="2"/>
    <n v="442.11"/>
    <n v="803.87"/>
    <s v="New"/>
    <n v="0.18"/>
    <s v="Cash"/>
    <s v="Retail"/>
    <s v="East-Eve"/>
  </r>
  <r>
    <n v="1016"/>
    <d v="2023-08-17T00:00:00"/>
    <x v="3"/>
    <x v="1"/>
    <n v="777.74"/>
    <n v="7"/>
    <x v="1"/>
    <n v="282.94"/>
    <n v="779.33"/>
    <s v="Returning"/>
    <n v="0.28000000000000003"/>
    <s v="Credit Card"/>
    <s v="Online"/>
    <s v="West-Eve"/>
  </r>
  <r>
    <n v="1061"/>
    <d v="2023-04-18T00:00:00"/>
    <x v="3"/>
    <x v="0"/>
    <n v="3774.02"/>
    <n v="47"/>
    <x v="3"/>
    <n v="146.27000000000001"/>
    <n v="498.46"/>
    <s v="New"/>
    <n v="0.06"/>
    <s v="Cash"/>
    <s v="Retail"/>
    <s v="North-Eve"/>
  </r>
  <r>
    <n v="1064"/>
    <d v="2023-06-21T00:00:00"/>
    <x v="0"/>
    <x v="1"/>
    <n v="9215.59"/>
    <n v="46"/>
    <x v="3"/>
    <n v="984.53"/>
    <n v="1138.49"/>
    <s v="New"/>
    <n v="0.04"/>
    <s v="Bank Transfer"/>
    <s v="Online"/>
    <s v="West-Bob"/>
  </r>
  <r>
    <n v="1063"/>
    <d v="2023-04-12T00:00:00"/>
    <x v="2"/>
    <x v="0"/>
    <n v="5886.04"/>
    <n v="40"/>
    <x v="3"/>
    <n v="2101.3200000000002"/>
    <n v="2440.63"/>
    <s v="New"/>
    <n v="0.26"/>
    <s v="Bank Transfer"/>
    <s v="Retail"/>
    <s v="North-Charlie"/>
  </r>
  <r>
    <n v="1069"/>
    <d v="2023-12-20T00:00:00"/>
    <x v="3"/>
    <x v="0"/>
    <n v="5429.49"/>
    <n v="12"/>
    <x v="0"/>
    <n v="4682.34"/>
    <n v="5036.3999999999996"/>
    <s v="New"/>
    <n v="0.2"/>
    <s v="Bank Transfer"/>
    <s v="Retail"/>
    <s v="North-Eve"/>
  </r>
  <r>
    <n v="1022"/>
    <d v="2023-01-12T00:00:00"/>
    <x v="3"/>
    <x v="3"/>
    <n v="2761.65"/>
    <n v="13"/>
    <x v="1"/>
    <n v="2312.4499999999998"/>
    <n v="2504.6"/>
    <s v="Returning"/>
    <n v="0.06"/>
    <s v="Bank Transfer"/>
    <s v="Online"/>
    <s v="East-Eve"/>
  </r>
  <r>
    <n v="1093"/>
    <d v="2023-10-02T00:00:00"/>
    <x v="0"/>
    <x v="1"/>
    <n v="3747.64"/>
    <n v="43"/>
    <x v="3"/>
    <n v="1486.76"/>
    <n v="1505.44"/>
    <s v="New"/>
    <n v="0.08"/>
    <s v="Cash"/>
    <s v="Retail"/>
    <s v="West-Bob"/>
  </r>
  <r>
    <n v="1067"/>
    <d v="2023-04-11T00:00:00"/>
    <x v="0"/>
    <x v="3"/>
    <n v="8963.93"/>
    <n v="17"/>
    <x v="1"/>
    <n v="2831.58"/>
    <n v="3186.15"/>
    <s v="New"/>
    <n v="0.24"/>
    <s v="Bank Transfer"/>
    <s v="Retail"/>
    <s v="East-Bob"/>
  </r>
  <r>
    <n v="1076"/>
    <d v="2023-02-13T00:00:00"/>
    <x v="3"/>
    <x v="0"/>
    <n v="6697.98"/>
    <n v="17"/>
    <x v="2"/>
    <n v="604.08000000000004"/>
    <n v="624.71"/>
    <s v="New"/>
    <n v="0.14000000000000001"/>
    <s v="Bank Transfer"/>
    <s v="Retail"/>
    <s v="North-Eve"/>
  </r>
  <r>
    <n v="1026"/>
    <d v="2023-11-01T00:00:00"/>
    <x v="4"/>
    <x v="2"/>
    <n v="7895.13"/>
    <n v="36"/>
    <x v="2"/>
    <n v="3067.05"/>
    <n v="3386.33"/>
    <s v="New"/>
    <n v="0.2"/>
    <s v="Bank Transfer"/>
    <s v="Online"/>
    <s v="South-Alice"/>
  </r>
  <r>
    <n v="1016"/>
    <d v="2023-01-17T00:00:00"/>
    <x v="3"/>
    <x v="1"/>
    <n v="4598.0200000000004"/>
    <n v="21"/>
    <x v="3"/>
    <n v="2863.74"/>
    <n v="2953.91"/>
    <s v="New"/>
    <n v="0.1"/>
    <s v="Bank Transfer"/>
    <s v="Retail"/>
    <s v="West-Eve"/>
  </r>
  <r>
    <n v="1051"/>
    <d v="2023-11-26T00:00:00"/>
    <x v="3"/>
    <x v="2"/>
    <n v="6339.45"/>
    <n v="8"/>
    <x v="1"/>
    <n v="3970.37"/>
    <n v="4257.5200000000004"/>
    <s v="New"/>
    <n v="0.11"/>
    <s v="Cash"/>
    <s v="Retail"/>
    <s v="South-Eve"/>
  </r>
  <r>
    <n v="1086"/>
    <d v="2023-02-26T00:00:00"/>
    <x v="0"/>
    <x v="1"/>
    <n v="2559"/>
    <n v="5"/>
    <x v="3"/>
    <n v="4934.1000000000004"/>
    <n v="5191.0200000000004"/>
    <s v="New"/>
    <n v="0.3"/>
    <s v="Bank Transfer"/>
    <s v="Online"/>
    <s v="West-Bob"/>
  </r>
  <r>
    <n v="1057"/>
    <d v="2023-11-07T00:00:00"/>
    <x v="0"/>
    <x v="3"/>
    <n v="7084.06"/>
    <n v="26"/>
    <x v="2"/>
    <n v="1291.82"/>
    <n v="1308.44"/>
    <s v="Returning"/>
    <n v="7.0000000000000007E-2"/>
    <s v="Credit Card"/>
    <s v="Online"/>
    <s v="East-Bob"/>
  </r>
  <r>
    <n v="1029"/>
    <d v="2023-10-30T00:00:00"/>
    <x v="3"/>
    <x v="3"/>
    <n v="4333.25"/>
    <n v="16"/>
    <x v="3"/>
    <n v="2572.8000000000002"/>
    <n v="2760.6"/>
    <s v="Returning"/>
    <n v="0.15"/>
    <s v="Credit Card"/>
    <s v="Retail"/>
    <s v="East-Eve"/>
  </r>
  <r>
    <n v="1078"/>
    <d v="2023-01-12T00:00:00"/>
    <x v="3"/>
    <x v="3"/>
    <n v="4481.2"/>
    <n v="36"/>
    <x v="1"/>
    <n v="4548.88"/>
    <n v="4853.41"/>
    <s v="Returning"/>
    <n v="0.25"/>
    <s v="Credit Card"/>
    <s v="Retail"/>
    <s v="East-Eve"/>
  </r>
  <r>
    <n v="1092"/>
    <d v="2023-11-14T00:00:00"/>
    <x v="3"/>
    <x v="3"/>
    <n v="6528.29"/>
    <n v="28"/>
    <x v="2"/>
    <n v="3936.69"/>
    <n v="4362.51"/>
    <s v="Returning"/>
    <n v="7.0000000000000007E-2"/>
    <s v="Credit Card"/>
    <s v="Retail"/>
    <s v="East-Eve"/>
  </r>
  <r>
    <n v="1069"/>
    <d v="2023-03-21T00:00:00"/>
    <x v="0"/>
    <x v="3"/>
    <n v="9369.18"/>
    <n v="29"/>
    <x v="0"/>
    <n v="2462.66"/>
    <n v="2908.09"/>
    <s v="New"/>
    <n v="0.12"/>
    <s v="Credit Card"/>
    <s v="Online"/>
    <s v="East-Bob"/>
  </r>
  <r>
    <n v="1047"/>
    <d v="2023-08-04T00:00:00"/>
    <x v="3"/>
    <x v="2"/>
    <n v="733.66"/>
    <n v="47"/>
    <x v="2"/>
    <n v="4729.59"/>
    <n v="4976.68"/>
    <s v="Returning"/>
    <n v="0.18"/>
    <s v="Credit Card"/>
    <s v="Retail"/>
    <s v="South-Eve"/>
  </r>
  <r>
    <n v="1094"/>
    <d v="2023-12-05T00:00:00"/>
    <x v="3"/>
    <x v="3"/>
    <n v="8264.9599999999991"/>
    <n v="12"/>
    <x v="0"/>
    <n v="333.32"/>
    <n v="700.25"/>
    <s v="Returning"/>
    <n v="0.14000000000000001"/>
    <s v="Cash"/>
    <s v="Online"/>
    <s v="East-Eve"/>
  </r>
  <r>
    <n v="1062"/>
    <d v="2023-09-21T00:00:00"/>
    <x v="1"/>
    <x v="0"/>
    <n v="2994.59"/>
    <n v="37"/>
    <x v="3"/>
    <n v="4658.4399999999996"/>
    <n v="4823.5"/>
    <s v="Returning"/>
    <n v="0.14000000000000001"/>
    <s v="Credit Card"/>
    <s v="Online"/>
    <s v="North-David"/>
  </r>
  <r>
    <n v="1069"/>
    <d v="2023-05-29T00:00:00"/>
    <x v="4"/>
    <x v="0"/>
    <n v="4494.8"/>
    <n v="30"/>
    <x v="3"/>
    <n v="300.01"/>
    <n v="477.68"/>
    <s v="New"/>
    <n v="0.11"/>
    <s v="Bank Transfer"/>
    <s v="Retail"/>
    <s v="North-Alice"/>
  </r>
  <r>
    <n v="1076"/>
    <d v="2023-03-22T00:00:00"/>
    <x v="2"/>
    <x v="2"/>
    <n v="316.94"/>
    <n v="23"/>
    <x v="1"/>
    <n v="2759.16"/>
    <n v="2864.45"/>
    <s v="Returning"/>
    <n v="0.18"/>
    <s v="Credit Card"/>
    <s v="Retail"/>
    <s v="South-Charlie"/>
  </r>
  <r>
    <n v="1016"/>
    <d v="2023-08-03T00:00:00"/>
    <x v="4"/>
    <x v="1"/>
    <n v="3080.36"/>
    <n v="16"/>
    <x v="0"/>
    <n v="4457.68"/>
    <n v="4743.03"/>
    <s v="Returning"/>
    <n v="0.19"/>
    <s v="Cash"/>
    <s v="Online"/>
    <s v="West-Alice"/>
  </r>
  <r>
    <n v="1090"/>
    <d v="2023-07-17T00:00:00"/>
    <x v="1"/>
    <x v="0"/>
    <n v="5076.05"/>
    <n v="14"/>
    <x v="3"/>
    <n v="1350.47"/>
    <n v="1514.61"/>
    <s v="New"/>
    <n v="0.2"/>
    <s v="Credit Card"/>
    <s v="Retail"/>
    <s v="North-David"/>
  </r>
  <r>
    <n v="1090"/>
    <d v="2023-07-19T00:00:00"/>
    <x v="2"/>
    <x v="1"/>
    <n v="656.14"/>
    <n v="10"/>
    <x v="0"/>
    <n v="2387.63"/>
    <n v="2438.9699999999998"/>
    <s v="Returning"/>
    <n v="0.02"/>
    <s v="Bank Transfer"/>
    <s v="Retail"/>
    <s v="West-Charlie"/>
  </r>
  <r>
    <n v="1048"/>
    <d v="2023-01-25T00:00:00"/>
    <x v="3"/>
    <x v="2"/>
    <n v="4961.8500000000004"/>
    <n v="7"/>
    <x v="3"/>
    <n v="1655.43"/>
    <n v="2001.08"/>
    <s v="New"/>
    <n v="0.19"/>
    <s v="Bank Transfer"/>
    <s v="Online"/>
    <s v="South-Eve"/>
  </r>
  <r>
    <n v="1085"/>
    <d v="2023-03-30T00:00:00"/>
    <x v="1"/>
    <x v="1"/>
    <n v="9278.4"/>
    <n v="45"/>
    <x v="2"/>
    <n v="4763.1099999999997"/>
    <n v="5119.91"/>
    <s v="Returning"/>
    <n v="0.28999999999999998"/>
    <s v="Cash"/>
    <s v="Retail"/>
    <s v="West-David"/>
  </r>
  <r>
    <n v="1039"/>
    <d v="2023-09-25T00:00:00"/>
    <x v="3"/>
    <x v="1"/>
    <n v="1143.3900000000001"/>
    <n v="37"/>
    <x v="3"/>
    <n v="4127.05"/>
    <n v="4313.45"/>
    <s v="New"/>
    <n v="0.16"/>
    <s v="Cash"/>
    <s v="Online"/>
    <s v="West-Eve"/>
  </r>
  <r>
    <n v="1100"/>
    <d v="2023-05-23T00:00:00"/>
    <x v="0"/>
    <x v="1"/>
    <n v="7667.96"/>
    <n v="29"/>
    <x v="1"/>
    <n v="3559.56"/>
    <n v="3607.15"/>
    <s v="Returning"/>
    <n v="0.21"/>
    <s v="Cash"/>
    <s v="Retail"/>
    <s v="West-Bob"/>
  </r>
  <r>
    <n v="1033"/>
    <d v="2023-02-28T00:00:00"/>
    <x v="1"/>
    <x v="1"/>
    <n v="4155.74"/>
    <n v="3"/>
    <x v="2"/>
    <n v="2958.75"/>
    <n v="3177.64"/>
    <s v="Returning"/>
    <n v="0.17"/>
    <s v="Cash"/>
    <s v="Online"/>
    <s v="West-David"/>
  </r>
  <r>
    <n v="1094"/>
    <d v="2023-12-31T00:00:00"/>
    <x v="0"/>
    <x v="2"/>
    <n v="6586.22"/>
    <n v="15"/>
    <x v="1"/>
    <n v="4111.93"/>
    <n v="4338.67"/>
    <s v="Returning"/>
    <n v="0.26"/>
    <s v="Credit Card"/>
    <s v="Online"/>
    <s v="South-Bob"/>
  </r>
  <r>
    <n v="1023"/>
    <d v="2023-01-26T00:00:00"/>
    <x v="1"/>
    <x v="0"/>
    <n v="2676.34"/>
    <n v="36"/>
    <x v="2"/>
    <n v="1991.72"/>
    <n v="2329.37"/>
    <s v="New"/>
    <n v="0.28000000000000003"/>
    <s v="Credit Card"/>
    <s v="Retail"/>
    <s v="North-David"/>
  </r>
  <r>
    <n v="1010"/>
    <d v="2023-02-16T00:00:00"/>
    <x v="1"/>
    <x v="3"/>
    <n v="1678.97"/>
    <n v="47"/>
    <x v="0"/>
    <n v="2265.38"/>
    <n v="2429.9299999999998"/>
    <s v="Returning"/>
    <n v="0.06"/>
    <s v="Bank Transfer"/>
    <s v="Online"/>
    <s v="East-David"/>
  </r>
  <r>
    <n v="1069"/>
    <d v="2023-10-15T00:00:00"/>
    <x v="0"/>
    <x v="1"/>
    <n v="1688.58"/>
    <n v="46"/>
    <x v="1"/>
    <n v="3663.51"/>
    <n v="4007.98"/>
    <s v="New"/>
    <n v="0.13"/>
    <s v="Cash"/>
    <s v="Online"/>
    <s v="West-Bob"/>
  </r>
  <r>
    <n v="1100"/>
    <d v="2023-09-23T00:00:00"/>
    <x v="2"/>
    <x v="0"/>
    <n v="797.87"/>
    <n v="19"/>
    <x v="3"/>
    <n v="1820.89"/>
    <n v="2257.92"/>
    <s v="New"/>
    <n v="0.12"/>
    <s v="Cash"/>
    <s v="Retail"/>
    <s v="North-Charlie"/>
  </r>
  <r>
    <n v="1034"/>
    <d v="2023-01-16T00:00:00"/>
    <x v="4"/>
    <x v="0"/>
    <n v="1937.9"/>
    <n v="13"/>
    <x v="0"/>
    <n v="366.31"/>
    <n v="492.68"/>
    <s v="New"/>
    <n v="0.12"/>
    <s v="Credit Card"/>
    <s v="Retail"/>
    <s v="North-Alice"/>
  </r>
  <r>
    <n v="1052"/>
    <d v="2023-07-18T00:00:00"/>
    <x v="3"/>
    <x v="2"/>
    <n v="6675.77"/>
    <n v="42"/>
    <x v="3"/>
    <n v="417.96"/>
    <n v="907.63"/>
    <s v="New"/>
    <n v="0.04"/>
    <s v="Cash"/>
    <s v="Retail"/>
    <s v="South-Eve"/>
  </r>
  <r>
    <n v="1095"/>
    <d v="2023-10-09T00:00:00"/>
    <x v="1"/>
    <x v="0"/>
    <n v="8828.74"/>
    <n v="21"/>
    <x v="2"/>
    <n v="621.04999999999995"/>
    <n v="820.37"/>
    <s v="Returning"/>
    <n v="0.24"/>
    <s v="Bank Transfer"/>
    <s v="Online"/>
    <s v="North-David"/>
  </r>
  <r>
    <n v="1010"/>
    <d v="2023-03-27T00:00:00"/>
    <x v="3"/>
    <x v="2"/>
    <n v="8159.84"/>
    <n v="37"/>
    <x v="2"/>
    <n v="4354.92"/>
    <n v="4495.88"/>
    <s v="Returning"/>
    <n v="0.01"/>
    <s v="Bank Transfer"/>
    <s v="Online"/>
    <s v="South-Eve"/>
  </r>
  <r>
    <n v="1019"/>
    <d v="2023-09-07T00:00:00"/>
    <x v="0"/>
    <x v="1"/>
    <n v="6882.83"/>
    <n v="27"/>
    <x v="3"/>
    <n v="2387.52"/>
    <n v="2604.06"/>
    <s v="Returning"/>
    <n v="0.16"/>
    <s v="Cash"/>
    <s v="Online"/>
    <s v="West-Bob"/>
  </r>
  <r>
    <n v="1058"/>
    <d v="2023-09-27T00:00:00"/>
    <x v="3"/>
    <x v="1"/>
    <n v="1193.28"/>
    <n v="29"/>
    <x v="3"/>
    <n v="3578.77"/>
    <n v="3635.02"/>
    <s v="New"/>
    <n v="0.2"/>
    <s v="Bank Transfer"/>
    <s v="Retail"/>
    <s v="West-Eve"/>
  </r>
  <r>
    <n v="1096"/>
    <d v="2023-12-01T00:00:00"/>
    <x v="0"/>
    <x v="3"/>
    <n v="2962.96"/>
    <n v="20"/>
    <x v="0"/>
    <n v="1994.9"/>
    <n v="2066.5"/>
    <s v="Returning"/>
    <n v="0.06"/>
    <s v="Bank Transfer"/>
    <s v="Online"/>
    <s v="East-Bob"/>
  </r>
  <r>
    <n v="1001"/>
    <d v="2023-04-27T00:00:00"/>
    <x v="3"/>
    <x v="3"/>
    <n v="3167.09"/>
    <n v="25"/>
    <x v="3"/>
    <n v="1330.62"/>
    <n v="1543.69"/>
    <s v="New"/>
    <n v="0.27"/>
    <s v="Credit Card"/>
    <s v="Online"/>
    <s v="East-Eve"/>
  </r>
  <r>
    <n v="1069"/>
    <d v="2023-01-07T00:00:00"/>
    <x v="4"/>
    <x v="3"/>
    <n v="2574.5700000000002"/>
    <n v="6"/>
    <x v="1"/>
    <n v="1768.6"/>
    <n v="2152.1999999999998"/>
    <s v="New"/>
    <n v="0.25"/>
    <s v="Bank Transfer"/>
    <s v="Retail"/>
    <s v="East-Alice"/>
  </r>
  <r>
    <n v="1004"/>
    <d v="2023-05-17T00:00:00"/>
    <x v="4"/>
    <x v="0"/>
    <n v="5198.5600000000004"/>
    <n v="36"/>
    <x v="1"/>
    <n v="3981.2"/>
    <n v="4432.3500000000004"/>
    <s v="New"/>
    <n v="0.14000000000000001"/>
    <s v="Cash"/>
    <s v="Online"/>
    <s v="North-Alice"/>
  </r>
  <r>
    <n v="1016"/>
    <d v="2023-06-25T00:00:00"/>
    <x v="4"/>
    <x v="1"/>
    <n v="5401.98"/>
    <n v="2"/>
    <x v="3"/>
    <n v="3144.82"/>
    <n v="3480.58"/>
    <s v="Returning"/>
    <n v="0.12"/>
    <s v="Cash"/>
    <s v="Retail"/>
    <s v="West-Alice"/>
  </r>
  <r>
    <n v="1024"/>
    <d v="2023-11-24T00:00:00"/>
    <x v="4"/>
    <x v="2"/>
    <n v="3633.17"/>
    <n v="22"/>
    <x v="1"/>
    <n v="4691.32"/>
    <n v="4752.88"/>
    <s v="Returning"/>
    <n v="7.0000000000000007E-2"/>
    <s v="Bank Transfer"/>
    <s v="Retail"/>
    <s v="South-Alice"/>
  </r>
  <r>
    <n v="1080"/>
    <d v="2023-11-11T00:00:00"/>
    <x v="4"/>
    <x v="3"/>
    <n v="3602.51"/>
    <n v="32"/>
    <x v="3"/>
    <n v="3414.54"/>
    <n v="3753.83"/>
    <s v="New"/>
    <n v="0.22"/>
    <s v="Cash"/>
    <s v="Retail"/>
    <s v="East-Alice"/>
  </r>
  <r>
    <n v="1002"/>
    <d v="2023-08-03T00:00:00"/>
    <x v="4"/>
    <x v="2"/>
    <n v="8302.7000000000007"/>
    <n v="16"/>
    <x v="0"/>
    <n v="2872.4"/>
    <n v="3193.76"/>
    <s v="Returning"/>
    <n v="0.04"/>
    <s v="Credit Card"/>
    <s v="Online"/>
    <s v="South-Alice"/>
  </r>
  <r>
    <n v="1092"/>
    <d v="2023-03-23T00:00:00"/>
    <x v="0"/>
    <x v="2"/>
    <n v="7914"/>
    <n v="18"/>
    <x v="1"/>
    <n v="3070.47"/>
    <n v="3475.29"/>
    <s v="Returning"/>
    <n v="0.2"/>
    <s v="Bank Transfer"/>
    <s v="Online"/>
    <s v="South-Bob"/>
  </r>
  <r>
    <n v="1032"/>
    <d v="2023-08-11T00:00:00"/>
    <x v="1"/>
    <x v="3"/>
    <n v="3147.18"/>
    <n v="5"/>
    <x v="1"/>
    <n v="4714.74"/>
    <n v="5129.1099999999997"/>
    <s v="New"/>
    <n v="0.25"/>
    <s v="Bank Transfer"/>
    <s v="Online"/>
    <s v="East-David"/>
  </r>
  <r>
    <n v="1091"/>
    <d v="2023-04-13T00:00:00"/>
    <x v="3"/>
    <x v="1"/>
    <n v="9146.51"/>
    <n v="36"/>
    <x v="3"/>
    <n v="3951.59"/>
    <n v="4387.01"/>
    <s v="New"/>
    <n v="7.0000000000000007E-2"/>
    <s v="Bank Transfer"/>
    <s v="Retail"/>
    <s v="West-Eve"/>
  </r>
  <r>
    <n v="1084"/>
    <d v="2023-09-30T00:00:00"/>
    <x v="4"/>
    <x v="3"/>
    <n v="9532.8700000000008"/>
    <n v="30"/>
    <x v="1"/>
    <n v="169"/>
    <n v="381.92"/>
    <s v="Returning"/>
    <n v="0.26"/>
    <s v="Cash"/>
    <s v="Retail"/>
    <s v="East-Alice"/>
  </r>
  <r>
    <n v="1024"/>
    <d v="2023-01-14T00:00:00"/>
    <x v="0"/>
    <x v="2"/>
    <n v="3334.75"/>
    <n v="45"/>
    <x v="2"/>
    <n v="2693.99"/>
    <n v="3045.94"/>
    <s v="New"/>
    <n v="0.01"/>
    <s v="Cash"/>
    <s v="Retail"/>
    <s v="South-Bob"/>
  </r>
  <r>
    <n v="1012"/>
    <d v="2023-06-08T00:00:00"/>
    <x v="0"/>
    <x v="3"/>
    <n v="3608.81"/>
    <n v="19"/>
    <x v="0"/>
    <n v="3457.28"/>
    <n v="3598.72"/>
    <s v="New"/>
    <n v="0.27"/>
    <s v="Bank Transfer"/>
    <s v="Online"/>
    <s v="East-Bob"/>
  </r>
  <r>
    <n v="1050"/>
    <d v="2023-06-01T00:00:00"/>
    <x v="0"/>
    <x v="2"/>
    <n v="5105.78"/>
    <n v="23"/>
    <x v="0"/>
    <n v="3756.06"/>
    <n v="4255.7299999999996"/>
    <s v="Returning"/>
    <n v="0.04"/>
    <s v="Cash"/>
    <s v="Online"/>
    <s v="South-Bob"/>
  </r>
  <r>
    <n v="1035"/>
    <d v="2023-04-18T00:00:00"/>
    <x v="1"/>
    <x v="2"/>
    <n v="9417.1"/>
    <n v="34"/>
    <x v="1"/>
    <n v="1105.05"/>
    <n v="1200.96"/>
    <s v="Returning"/>
    <n v="0.19"/>
    <s v="Cash"/>
    <s v="Online"/>
    <s v="South-David"/>
  </r>
  <r>
    <n v="1033"/>
    <d v="2023-07-07T00:00:00"/>
    <x v="3"/>
    <x v="3"/>
    <n v="8775.56"/>
    <n v="13"/>
    <x v="1"/>
    <n v="4342.53"/>
    <n v="4357.49"/>
    <s v="New"/>
    <n v="0.08"/>
    <s v="Bank Transfer"/>
    <s v="Online"/>
    <s v="East-Eve"/>
  </r>
  <r>
    <n v="1033"/>
    <d v="2023-10-28T00:00:00"/>
    <x v="1"/>
    <x v="0"/>
    <n v="1115.42"/>
    <n v="43"/>
    <x v="2"/>
    <n v="4781.42"/>
    <n v="4864.34"/>
    <s v="Returning"/>
    <n v="0.25"/>
    <s v="Bank Transfer"/>
    <s v="Online"/>
    <s v="North-David"/>
  </r>
  <r>
    <n v="1061"/>
    <d v="2023-04-08T00:00:00"/>
    <x v="2"/>
    <x v="3"/>
    <n v="3988.03"/>
    <n v="29"/>
    <x v="2"/>
    <n v="1221.74"/>
    <n v="1611.92"/>
    <s v="New"/>
    <n v="0.15"/>
    <s v="Cash"/>
    <s v="Retail"/>
    <s v="East-Charlie"/>
  </r>
  <r>
    <n v="1051"/>
    <d v="2023-05-11T00:00:00"/>
    <x v="0"/>
    <x v="0"/>
    <n v="5578.37"/>
    <n v="36"/>
    <x v="1"/>
    <n v="4418.95"/>
    <n v="4647.87"/>
    <s v="New"/>
    <n v="0.04"/>
    <s v="Bank Transfer"/>
    <s v="Online"/>
    <s v="North-Bob"/>
  </r>
  <r>
    <n v="1043"/>
    <d v="2023-10-20T00:00:00"/>
    <x v="2"/>
    <x v="2"/>
    <n v="5081.01"/>
    <n v="22"/>
    <x v="1"/>
    <n v="530.04"/>
    <n v="759.32"/>
    <s v="Returning"/>
    <n v="0.17"/>
    <s v="Bank Transfer"/>
    <s v="Retail"/>
    <s v="South-Charlie"/>
  </r>
  <r>
    <n v="1012"/>
    <d v="2023-06-20T00:00:00"/>
    <x v="4"/>
    <x v="2"/>
    <n v="2019.24"/>
    <n v="47"/>
    <x v="2"/>
    <n v="325.75"/>
    <n v="803.71"/>
    <s v="New"/>
    <n v="0.12"/>
    <s v="Bank Transfer"/>
    <s v="Retail"/>
    <s v="South-Alice"/>
  </r>
  <r>
    <n v="1067"/>
    <d v="2023-07-02T00:00:00"/>
    <x v="4"/>
    <x v="0"/>
    <n v="8602.2900000000009"/>
    <n v="36"/>
    <x v="3"/>
    <n v="689.66"/>
    <n v="1150.28"/>
    <s v="New"/>
    <n v="0.2"/>
    <s v="Bank Transfer"/>
    <s v="Online"/>
    <s v="North-Alice"/>
  </r>
  <r>
    <n v="1065"/>
    <d v="2023-12-30T00:00:00"/>
    <x v="1"/>
    <x v="2"/>
    <n v="6801.71"/>
    <n v="9"/>
    <x v="2"/>
    <n v="335.82"/>
    <n v="498.31"/>
    <s v="New"/>
    <n v="0.26"/>
    <s v="Cash"/>
    <s v="Retail"/>
    <s v="South-David"/>
  </r>
  <r>
    <n v="1033"/>
    <d v="2023-02-08T00:00:00"/>
    <x v="3"/>
    <x v="0"/>
    <n v="8395.2900000000009"/>
    <n v="39"/>
    <x v="3"/>
    <n v="4232.8100000000004"/>
    <n v="4345.25"/>
    <s v="Returning"/>
    <n v="0.12"/>
    <s v="Bank Transfer"/>
    <s v="Online"/>
    <s v="North-Eve"/>
  </r>
  <r>
    <n v="1040"/>
    <d v="2023-01-15T00:00:00"/>
    <x v="2"/>
    <x v="0"/>
    <n v="8601.77"/>
    <n v="19"/>
    <x v="0"/>
    <n v="342.3"/>
    <n v="768.06"/>
    <s v="Returning"/>
    <n v="0.09"/>
    <s v="Credit Card"/>
    <s v="Online"/>
    <s v="North-Charlie"/>
  </r>
  <r>
    <n v="1074"/>
    <d v="2023-01-04T00:00:00"/>
    <x v="3"/>
    <x v="2"/>
    <n v="7508.72"/>
    <n v="38"/>
    <x v="0"/>
    <n v="1394.74"/>
    <n v="1848.69"/>
    <s v="Returning"/>
    <n v="0"/>
    <s v="Bank Transfer"/>
    <s v="Retail"/>
    <s v="South-Eve"/>
  </r>
  <r>
    <n v="1043"/>
    <d v="2023-12-15T00:00:00"/>
    <x v="1"/>
    <x v="1"/>
    <n v="4448.18"/>
    <n v="6"/>
    <x v="2"/>
    <n v="563.59"/>
    <n v="838.97"/>
    <s v="New"/>
    <n v="0.17"/>
    <s v="Credit Card"/>
    <s v="Online"/>
    <s v="West-David"/>
  </r>
  <r>
    <n v="1044"/>
    <d v="2023-07-29T00:00:00"/>
    <x v="4"/>
    <x v="0"/>
    <n v="6144.41"/>
    <n v="47"/>
    <x v="3"/>
    <n v="1512.34"/>
    <n v="1830.76"/>
    <s v="New"/>
    <n v="0.12"/>
    <s v="Bank Transfer"/>
    <s v="Online"/>
    <s v="North-Alice"/>
  </r>
  <r>
    <n v="1029"/>
    <d v="2023-06-10T00:00:00"/>
    <x v="3"/>
    <x v="3"/>
    <n v="1687.62"/>
    <n v="15"/>
    <x v="2"/>
    <n v="498.27"/>
    <n v="634.16"/>
    <s v="Returning"/>
    <n v="0.11"/>
    <s v="Credit Card"/>
    <s v="Retail"/>
    <s v="East-Eve"/>
  </r>
  <r>
    <n v="1013"/>
    <d v="2023-01-16T00:00:00"/>
    <x v="3"/>
    <x v="3"/>
    <n v="6769.09"/>
    <n v="20"/>
    <x v="2"/>
    <n v="3356.62"/>
    <n v="3759.01"/>
    <s v="Returning"/>
    <n v="0.05"/>
    <s v="Credit Card"/>
    <s v="Retail"/>
    <s v="East-Eve"/>
  </r>
  <r>
    <n v="1012"/>
    <d v="2023-04-18T00:00:00"/>
    <x v="4"/>
    <x v="2"/>
    <n v="1874.61"/>
    <n v="9"/>
    <x v="3"/>
    <n v="709.97"/>
    <n v="1029.71"/>
    <s v="Returning"/>
    <n v="0.13"/>
    <s v="Bank Transfer"/>
    <s v="Retail"/>
    <s v="South-Alice"/>
  </r>
  <r>
    <n v="1095"/>
    <d v="2023-11-07T00:00:00"/>
    <x v="2"/>
    <x v="1"/>
    <n v="6970.1"/>
    <n v="32"/>
    <x v="2"/>
    <n v="4266.6400000000003"/>
    <n v="4523.3599999999997"/>
    <s v="New"/>
    <n v="0.3"/>
    <s v="Bank Transfer"/>
    <s v="Retail"/>
    <s v="West-Charlie"/>
  </r>
  <r>
    <n v="1046"/>
    <d v="2023-08-15T00:00:00"/>
    <x v="4"/>
    <x v="2"/>
    <n v="2373.02"/>
    <n v="4"/>
    <x v="0"/>
    <n v="4095.1"/>
    <n v="4134.55"/>
    <s v="Returning"/>
    <n v="0.09"/>
    <s v="Bank Transfer"/>
    <s v="Retail"/>
    <s v="South-Alice"/>
  </r>
  <r>
    <n v="1002"/>
    <d v="2023-06-19T00:00:00"/>
    <x v="3"/>
    <x v="1"/>
    <n v="1263.76"/>
    <n v="18"/>
    <x v="1"/>
    <n v="117.63"/>
    <n v="576.44000000000005"/>
    <s v="New"/>
    <n v="0.18"/>
    <s v="Credit Card"/>
    <s v="Retail"/>
    <s v="West-Eve"/>
  </r>
  <r>
    <n v="1035"/>
    <d v="2023-02-03T00:00:00"/>
    <x v="2"/>
    <x v="0"/>
    <n v="1736.32"/>
    <n v="5"/>
    <x v="1"/>
    <n v="4483.8500000000004"/>
    <n v="4795.42"/>
    <s v="Returning"/>
    <n v="0.23"/>
    <s v="Cash"/>
    <s v="Online"/>
    <s v="North-Charlie"/>
  </r>
  <r>
    <n v="1087"/>
    <d v="2023-09-08T00:00:00"/>
    <x v="2"/>
    <x v="0"/>
    <n v="119.72"/>
    <n v="20"/>
    <x v="2"/>
    <n v="193.27"/>
    <n v="297.69"/>
    <s v="New"/>
    <n v="0.22"/>
    <s v="Cash"/>
    <s v="Online"/>
    <s v="North-Charlie"/>
  </r>
  <r>
    <n v="1081"/>
    <d v="2023-09-04T00:00:00"/>
    <x v="4"/>
    <x v="0"/>
    <n v="7215.52"/>
    <n v="23"/>
    <x v="3"/>
    <n v="1236.25"/>
    <n v="1543.38"/>
    <s v="New"/>
    <n v="0.1"/>
    <s v="Bank Transfer"/>
    <s v="Online"/>
    <s v="North-Alice"/>
  </r>
  <r>
    <n v="1090"/>
    <d v="2023-09-26T00:00:00"/>
    <x v="3"/>
    <x v="0"/>
    <n v="7350.77"/>
    <n v="11"/>
    <x v="3"/>
    <n v="210.33"/>
    <n v="552.29"/>
    <s v="Returning"/>
    <n v="0.18"/>
    <s v="Cash"/>
    <s v="Retail"/>
    <s v="North-Eve"/>
  </r>
  <r>
    <n v="1008"/>
    <d v="2023-05-21T00:00:00"/>
    <x v="1"/>
    <x v="3"/>
    <n v="5197.84"/>
    <n v="37"/>
    <x v="0"/>
    <n v="1712.43"/>
    <n v="1980.06"/>
    <s v="New"/>
    <n v="0.26"/>
    <s v="Cash"/>
    <s v="Online"/>
    <s v="East-David"/>
  </r>
  <r>
    <n v="1093"/>
    <d v="2023-10-01T00:00:00"/>
    <x v="3"/>
    <x v="3"/>
    <n v="1697.49"/>
    <n v="22"/>
    <x v="3"/>
    <n v="2593.64"/>
    <n v="2955.51"/>
    <s v="Returning"/>
    <n v="0"/>
    <s v="Bank Transfer"/>
    <s v="Retail"/>
    <s v="East-Eve"/>
  </r>
  <r>
    <n v="1026"/>
    <d v="2023-04-06T00:00:00"/>
    <x v="0"/>
    <x v="2"/>
    <n v="927.19"/>
    <n v="4"/>
    <x v="3"/>
    <n v="3993.39"/>
    <n v="4288.3"/>
    <s v="New"/>
    <n v="0.13"/>
    <s v="Credit Card"/>
    <s v="Online"/>
    <s v="South-Bob"/>
  </r>
  <r>
    <n v="1074"/>
    <d v="2023-08-15T00:00:00"/>
    <x v="1"/>
    <x v="1"/>
    <n v="289.38"/>
    <n v="29"/>
    <x v="0"/>
    <n v="1723.01"/>
    <n v="2197.42"/>
    <s v="New"/>
    <n v="7.0000000000000007E-2"/>
    <s v="Bank Transfer"/>
    <s v="Retail"/>
    <s v="West-David"/>
  </r>
  <r>
    <n v="1090"/>
    <d v="2023-02-08T00:00:00"/>
    <x v="2"/>
    <x v="0"/>
    <n v="1740.91"/>
    <n v="44"/>
    <x v="2"/>
    <n v="3542.18"/>
    <n v="3578.49"/>
    <s v="Returning"/>
    <n v="0.12"/>
    <s v="Cash"/>
    <s v="Online"/>
    <s v="North-Charlie"/>
  </r>
  <r>
    <n v="1034"/>
    <d v="2023-10-29T00:00:00"/>
    <x v="1"/>
    <x v="0"/>
    <n v="8919.4699999999993"/>
    <n v="34"/>
    <x v="1"/>
    <n v="978.15"/>
    <n v="1040.21"/>
    <s v="New"/>
    <n v="0.12"/>
    <s v="Credit Card"/>
    <s v="Retail"/>
    <s v="North-David"/>
  </r>
  <r>
    <n v="1007"/>
    <d v="2023-01-29T00:00:00"/>
    <x v="2"/>
    <x v="1"/>
    <n v="2491.21"/>
    <n v="13"/>
    <x v="0"/>
    <n v="3765.46"/>
    <n v="3860.56"/>
    <s v="Returning"/>
    <n v="0.22"/>
    <s v="Cash"/>
    <s v="Retail"/>
    <s v="West-Charlie"/>
  </r>
  <r>
    <n v="1068"/>
    <d v="2023-11-14T00:00:00"/>
    <x v="2"/>
    <x v="1"/>
    <n v="3607.29"/>
    <n v="42"/>
    <x v="2"/>
    <n v="1218.18"/>
    <n v="1566.36"/>
    <s v="Returning"/>
    <n v="0.03"/>
    <s v="Credit Card"/>
    <s v="Retail"/>
    <s v="West-Charlie"/>
  </r>
  <r>
    <n v="1058"/>
    <d v="2023-09-02T00:00:00"/>
    <x v="1"/>
    <x v="2"/>
    <n v="1142.92"/>
    <n v="9"/>
    <x v="0"/>
    <n v="760.55"/>
    <n v="1086.8900000000001"/>
    <s v="Returning"/>
    <n v="0.15"/>
    <s v="Cash"/>
    <s v="Retail"/>
    <s v="South-David"/>
  </r>
  <r>
    <n v="1075"/>
    <d v="2023-08-24T00:00:00"/>
    <x v="2"/>
    <x v="1"/>
    <n v="2301.38"/>
    <n v="42"/>
    <x v="2"/>
    <n v="967.77"/>
    <n v="1414.88"/>
    <s v="New"/>
    <n v="0.17"/>
    <s v="Bank Transfer"/>
    <s v="Online"/>
    <s v="West-Charlie"/>
  </r>
  <r>
    <n v="1029"/>
    <d v="2023-07-04T00:00:00"/>
    <x v="2"/>
    <x v="0"/>
    <n v="5240.32"/>
    <n v="31"/>
    <x v="0"/>
    <n v="951.21"/>
    <n v="1320.32"/>
    <s v="New"/>
    <n v="0.15"/>
    <s v="Cash"/>
    <s v="Online"/>
    <s v="North-Charlie"/>
  </r>
  <r>
    <n v="1036"/>
    <d v="2023-09-29T00:00:00"/>
    <x v="0"/>
    <x v="0"/>
    <n v="6116.75"/>
    <n v="7"/>
    <x v="2"/>
    <n v="2588.67"/>
    <n v="2847.76"/>
    <s v="New"/>
    <n v="0.22"/>
    <s v="Cash"/>
    <s v="Retail"/>
    <s v="North-Bob"/>
  </r>
  <r>
    <n v="1089"/>
    <d v="2023-08-24T00:00:00"/>
    <x v="3"/>
    <x v="0"/>
    <n v="2528.9899999999998"/>
    <n v="4"/>
    <x v="0"/>
    <n v="4231.75"/>
    <n v="4727.75"/>
    <s v="Returning"/>
    <n v="0.12"/>
    <s v="Credit Card"/>
    <s v="Retail"/>
    <s v="North-Eve"/>
  </r>
  <r>
    <n v="1021"/>
    <d v="2023-08-27T00:00:00"/>
    <x v="3"/>
    <x v="0"/>
    <n v="671.55"/>
    <n v="19"/>
    <x v="2"/>
    <n v="444.05"/>
    <n v="584.44000000000005"/>
    <s v="Returning"/>
    <n v="0.28000000000000003"/>
    <s v="Cash"/>
    <s v="Retail"/>
    <s v="North-Eve"/>
  </r>
  <r>
    <n v="1036"/>
    <d v="2023-09-23T00:00:00"/>
    <x v="0"/>
    <x v="0"/>
    <n v="3971.23"/>
    <n v="42"/>
    <x v="0"/>
    <n v="3549.43"/>
    <n v="3967.69"/>
    <s v="New"/>
    <n v="0.14000000000000001"/>
    <s v="Bank Transfer"/>
    <s v="Online"/>
    <s v="North-Bob"/>
  </r>
  <r>
    <n v="1010"/>
    <d v="2023-12-25T00:00:00"/>
    <x v="1"/>
    <x v="2"/>
    <n v="2418.61"/>
    <n v="30"/>
    <x v="1"/>
    <n v="3289.01"/>
    <n v="3508.14"/>
    <s v="New"/>
    <n v="0.17"/>
    <s v="Bank Transfer"/>
    <s v="Retail"/>
    <s v="South-David"/>
  </r>
  <r>
    <n v="1073"/>
    <d v="2023-12-06T00:00:00"/>
    <x v="4"/>
    <x v="0"/>
    <n v="2273.58"/>
    <n v="31"/>
    <x v="1"/>
    <n v="4368.97"/>
    <n v="4696.8500000000004"/>
    <s v="Returning"/>
    <n v="0.25"/>
    <s v="Bank Transfer"/>
    <s v="Retail"/>
    <s v="North-Alice"/>
  </r>
  <r>
    <n v="1024"/>
    <d v="2023-03-06T00:00:00"/>
    <x v="4"/>
    <x v="2"/>
    <n v="9602.64"/>
    <n v="35"/>
    <x v="3"/>
    <n v="1258.53"/>
    <n v="1624.89"/>
    <s v="New"/>
    <n v="0.08"/>
    <s v="Credit Card"/>
    <s v="Online"/>
    <s v="South-Alice"/>
  </r>
  <r>
    <n v="1064"/>
    <d v="2023-06-26T00:00:00"/>
    <x v="4"/>
    <x v="0"/>
    <n v="6201.37"/>
    <n v="21"/>
    <x v="2"/>
    <n v="2278.04"/>
    <n v="2598.58"/>
    <s v="Returning"/>
    <n v="0.02"/>
    <s v="Credit Card"/>
    <s v="Retail"/>
    <s v="North-Alice"/>
  </r>
  <r>
    <n v="1099"/>
    <d v="2023-01-03T00:00:00"/>
    <x v="0"/>
    <x v="3"/>
    <n v="5613.1"/>
    <n v="31"/>
    <x v="0"/>
    <n v="4632.8500000000004"/>
    <n v="4711.7"/>
    <s v="New"/>
    <n v="0.21"/>
    <s v="Cash"/>
    <s v="Retail"/>
    <s v="East-Bob"/>
  </r>
  <r>
    <n v="1049"/>
    <d v="2023-05-22T00:00:00"/>
    <x v="0"/>
    <x v="3"/>
    <n v="4216.17"/>
    <n v="19"/>
    <x v="2"/>
    <n v="3316.97"/>
    <n v="3544.02"/>
    <s v="Returning"/>
    <n v="0.14000000000000001"/>
    <s v="Cash"/>
    <s v="Online"/>
    <s v="East-Bob"/>
  </r>
  <r>
    <n v="1099"/>
    <d v="2023-06-07T00:00:00"/>
    <x v="2"/>
    <x v="3"/>
    <n v="4346.55"/>
    <n v="31"/>
    <x v="1"/>
    <n v="1974.4"/>
    <n v="2259.5"/>
    <s v="New"/>
    <n v="0.27"/>
    <s v="Cash"/>
    <s v="Retail"/>
    <s v="East-Charlie"/>
  </r>
  <r>
    <n v="1036"/>
    <d v="2023-11-20T00:00:00"/>
    <x v="4"/>
    <x v="3"/>
    <n v="5454.96"/>
    <n v="32"/>
    <x v="2"/>
    <n v="700.49"/>
    <n v="1126.52"/>
    <s v="New"/>
    <n v="0.28999999999999998"/>
    <s v="Credit Card"/>
    <s v="Retail"/>
    <s v="East-Alice"/>
  </r>
  <r>
    <n v="1082"/>
    <d v="2023-05-26T00:00:00"/>
    <x v="1"/>
    <x v="2"/>
    <n v="6994.66"/>
    <n v="2"/>
    <x v="0"/>
    <n v="1349.3"/>
    <n v="1576.69"/>
    <s v="Returning"/>
    <n v="0.12"/>
    <s v="Credit Card"/>
    <s v="Online"/>
    <s v="South-David"/>
  </r>
  <r>
    <n v="1096"/>
    <d v="2023-10-20T00:00:00"/>
    <x v="1"/>
    <x v="2"/>
    <n v="7051.25"/>
    <n v="10"/>
    <x v="2"/>
    <n v="2927.02"/>
    <n v="3387.21"/>
    <s v="Returning"/>
    <n v="0.12"/>
    <s v="Cash"/>
    <s v="Retail"/>
    <s v="South-David"/>
  </r>
  <r>
    <n v="1024"/>
    <d v="2023-06-02T00:00:00"/>
    <x v="4"/>
    <x v="1"/>
    <n v="1799.77"/>
    <n v="2"/>
    <x v="0"/>
    <n v="3604.93"/>
    <n v="3830.71"/>
    <s v="Returning"/>
    <n v="0.12"/>
    <s v="Credit Card"/>
    <s v="Online"/>
    <s v="West-Alice"/>
  </r>
  <r>
    <n v="1023"/>
    <d v="2023-07-12T00:00:00"/>
    <x v="4"/>
    <x v="0"/>
    <n v="5051.12"/>
    <n v="2"/>
    <x v="1"/>
    <n v="665.89"/>
    <n v="944.79"/>
    <s v="New"/>
    <n v="0.1"/>
    <s v="Credit Card"/>
    <s v="Retail"/>
    <s v="North-Alice"/>
  </r>
  <r>
    <n v="1062"/>
    <d v="2023-03-14T00:00:00"/>
    <x v="4"/>
    <x v="3"/>
    <n v="4178.3900000000003"/>
    <n v="24"/>
    <x v="1"/>
    <n v="3018.01"/>
    <n v="3418.19"/>
    <s v="Returning"/>
    <n v="0.23"/>
    <s v="Bank Transfer"/>
    <s v="Retail"/>
    <s v="East-Alice"/>
  </r>
  <r>
    <n v="1096"/>
    <d v="2023-11-01T00:00:00"/>
    <x v="0"/>
    <x v="2"/>
    <n v="8718.2199999999993"/>
    <n v="17"/>
    <x v="1"/>
    <n v="2774.24"/>
    <n v="3069.94"/>
    <s v="Returning"/>
    <n v="0.23"/>
    <s v="Bank Transfer"/>
    <s v="Retail"/>
    <s v="South-Bob"/>
  </r>
  <r>
    <n v="1037"/>
    <d v="2023-12-10T00:00:00"/>
    <x v="0"/>
    <x v="0"/>
    <n v="6351.05"/>
    <n v="32"/>
    <x v="3"/>
    <n v="2594.08"/>
    <n v="3074.59"/>
    <s v="New"/>
    <n v="0.14000000000000001"/>
    <s v="Cash"/>
    <s v="Retail"/>
    <s v="North-Bob"/>
  </r>
  <r>
    <n v="1012"/>
    <d v="2023-05-20T00:00:00"/>
    <x v="0"/>
    <x v="0"/>
    <n v="5371.79"/>
    <n v="16"/>
    <x v="1"/>
    <n v="3466.11"/>
    <n v="3799.67"/>
    <s v="Returning"/>
    <n v="0.01"/>
    <s v="Cash"/>
    <s v="Retail"/>
    <s v="North-Bob"/>
  </r>
  <r>
    <n v="1055"/>
    <d v="2023-07-06T00:00:00"/>
    <x v="3"/>
    <x v="2"/>
    <n v="1242.4100000000001"/>
    <n v="16"/>
    <x v="2"/>
    <n v="4195.38"/>
    <n v="4461.51"/>
    <s v="Returning"/>
    <n v="0.09"/>
    <s v="Bank Transfer"/>
    <s v="Online"/>
    <s v="South-Eve"/>
  </r>
  <r>
    <n v="1013"/>
    <d v="2023-10-20T00:00:00"/>
    <x v="1"/>
    <x v="3"/>
    <n v="6095.82"/>
    <n v="46"/>
    <x v="3"/>
    <n v="1648.8"/>
    <n v="1670.36"/>
    <s v="Returning"/>
    <n v="0.09"/>
    <s v="Credit Card"/>
    <s v="Retail"/>
    <s v="East-David"/>
  </r>
  <r>
    <n v="1023"/>
    <d v="2023-03-02T00:00:00"/>
    <x v="1"/>
    <x v="1"/>
    <n v="1260.32"/>
    <n v="39"/>
    <x v="1"/>
    <n v="4450.6099999999997"/>
    <n v="4663.34"/>
    <s v="New"/>
    <n v="0.24"/>
    <s v="Cash"/>
    <s v="Retail"/>
    <s v="West-David"/>
  </r>
  <r>
    <n v="1089"/>
    <d v="2023-07-17T00:00:00"/>
    <x v="2"/>
    <x v="0"/>
    <n v="3438.35"/>
    <n v="31"/>
    <x v="2"/>
    <n v="845.14"/>
    <n v="1001.77"/>
    <s v="New"/>
    <n v="0.03"/>
    <s v="Cash"/>
    <s v="Online"/>
    <s v="North-Charlie"/>
  </r>
  <r>
    <n v="1099"/>
    <d v="2023-10-22T00:00:00"/>
    <x v="0"/>
    <x v="1"/>
    <n v="1514.14"/>
    <n v="43"/>
    <x v="2"/>
    <n v="906.47"/>
    <n v="1283.04"/>
    <s v="New"/>
    <n v="0.24"/>
    <s v="Cash"/>
    <s v="Online"/>
    <s v="West-Bob"/>
  </r>
  <r>
    <n v="1030"/>
    <d v="2023-11-15T00:00:00"/>
    <x v="3"/>
    <x v="3"/>
    <n v="6951.53"/>
    <n v="24"/>
    <x v="2"/>
    <n v="1370.52"/>
    <n v="1482.58"/>
    <s v="Returning"/>
    <n v="0.2"/>
    <s v="Credit Card"/>
    <s v="Retail"/>
    <s v="East-Eve"/>
  </r>
  <r>
    <n v="1017"/>
    <d v="2023-10-29T00:00:00"/>
    <x v="3"/>
    <x v="3"/>
    <n v="2141.9"/>
    <n v="1"/>
    <x v="0"/>
    <n v="641.67999999999995"/>
    <n v="752.24"/>
    <s v="New"/>
    <n v="0.22"/>
    <s v="Bank Transfer"/>
    <s v="Online"/>
    <s v="East-Eve"/>
  </r>
  <r>
    <n v="1062"/>
    <d v="2023-12-10T00:00:00"/>
    <x v="1"/>
    <x v="1"/>
    <n v="3979.41"/>
    <n v="11"/>
    <x v="3"/>
    <n v="1190.08"/>
    <n v="1292.94"/>
    <s v="Returning"/>
    <n v="0.13"/>
    <s v="Cash"/>
    <s v="Retail"/>
    <s v="West-David"/>
  </r>
  <r>
    <n v="1084"/>
    <d v="2023-01-11T00:00:00"/>
    <x v="0"/>
    <x v="3"/>
    <n v="8967.18"/>
    <n v="21"/>
    <x v="2"/>
    <n v="576.74"/>
    <n v="648.29"/>
    <s v="Returning"/>
    <n v="0.2"/>
    <s v="Bank Transfer"/>
    <s v="Online"/>
    <s v="East-Bob"/>
  </r>
  <r>
    <n v="1089"/>
    <d v="2023-03-03T00:00:00"/>
    <x v="2"/>
    <x v="0"/>
    <n v="2122.73"/>
    <n v="4"/>
    <x v="0"/>
    <n v="4117.67"/>
    <n v="4280.0600000000004"/>
    <s v="Returning"/>
    <n v="0.18"/>
    <s v="Bank Transfer"/>
    <s v="Online"/>
    <s v="North-Charlie"/>
  </r>
  <r>
    <n v="1086"/>
    <d v="2023-11-29T00:00:00"/>
    <x v="0"/>
    <x v="1"/>
    <n v="5127.2700000000004"/>
    <n v="7"/>
    <x v="1"/>
    <n v="737.9"/>
    <n v="1182"/>
    <s v="New"/>
    <n v="0.23"/>
    <s v="Credit Card"/>
    <s v="Retail"/>
    <s v="West-Bob"/>
  </r>
  <r>
    <n v="1013"/>
    <d v="2023-08-14T00:00:00"/>
    <x v="4"/>
    <x v="3"/>
    <n v="4250.79"/>
    <n v="26"/>
    <x v="2"/>
    <n v="3749.12"/>
    <n v="4138.83"/>
    <s v="New"/>
    <n v="0.13"/>
    <s v="Credit Card"/>
    <s v="Online"/>
    <s v="East-Alice"/>
  </r>
  <r>
    <n v="1059"/>
    <d v="2023-06-02T00:00:00"/>
    <x v="0"/>
    <x v="1"/>
    <n v="279.43"/>
    <n v="47"/>
    <x v="0"/>
    <n v="287.17"/>
    <n v="657.44"/>
    <s v="Returning"/>
    <n v="0.14000000000000001"/>
    <s v="Credit Card"/>
    <s v="Retail"/>
    <s v="West-Bob"/>
  </r>
  <r>
    <n v="1019"/>
    <d v="2023-07-18T00:00:00"/>
    <x v="4"/>
    <x v="0"/>
    <n v="7948.31"/>
    <n v="12"/>
    <x v="2"/>
    <n v="4745.18"/>
    <n v="5145.88"/>
    <s v="Returning"/>
    <n v="0.19"/>
    <s v="Credit Card"/>
    <s v="Online"/>
    <s v="North-Alice"/>
  </r>
  <r>
    <n v="1049"/>
    <d v="2023-02-21T00:00:00"/>
    <x v="4"/>
    <x v="3"/>
    <n v="783.55"/>
    <n v="31"/>
    <x v="3"/>
    <n v="3570.24"/>
    <n v="3712.25"/>
    <s v="New"/>
    <n v="0.03"/>
    <s v="Credit Card"/>
    <s v="Online"/>
    <s v="East-Alice"/>
  </r>
  <r>
    <n v="1100"/>
    <d v="2023-09-17T00:00:00"/>
    <x v="2"/>
    <x v="0"/>
    <n v="4795.12"/>
    <n v="17"/>
    <x v="3"/>
    <n v="83.64"/>
    <n v="528.49"/>
    <s v="New"/>
    <n v="0.13"/>
    <s v="Credit Card"/>
    <s v="Online"/>
    <s v="North-Charlie"/>
  </r>
  <r>
    <n v="1012"/>
    <d v="2023-02-28T00:00:00"/>
    <x v="1"/>
    <x v="3"/>
    <n v="5650.72"/>
    <n v="33"/>
    <x v="1"/>
    <n v="3831.09"/>
    <n v="3908.37"/>
    <s v="New"/>
    <n v="0.28999999999999998"/>
    <s v="Cash"/>
    <s v="Retail"/>
    <s v="East-David"/>
  </r>
  <r>
    <n v="1061"/>
    <d v="2023-03-13T00:00:00"/>
    <x v="0"/>
    <x v="2"/>
    <n v="6321.42"/>
    <n v="11"/>
    <x v="2"/>
    <n v="2594.71"/>
    <n v="2769.52"/>
    <s v="Returning"/>
    <n v="0.01"/>
    <s v="Bank Transfer"/>
    <s v="Retail"/>
    <s v="South-Bob"/>
  </r>
  <r>
    <n v="1019"/>
    <d v="2023-05-28T00:00:00"/>
    <x v="4"/>
    <x v="3"/>
    <n v="6917.45"/>
    <n v="28"/>
    <x v="0"/>
    <n v="3907.86"/>
    <n v="4205.37"/>
    <s v="New"/>
    <n v="0.09"/>
    <s v="Credit Card"/>
    <s v="Online"/>
    <s v="East-Alice"/>
  </r>
  <r>
    <n v="1076"/>
    <d v="2023-12-15T00:00:00"/>
    <x v="0"/>
    <x v="1"/>
    <n v="2607.4"/>
    <n v="32"/>
    <x v="1"/>
    <n v="2636.36"/>
    <n v="2696.78"/>
    <s v="New"/>
    <n v="0.09"/>
    <s v="Cash"/>
    <s v="Retail"/>
    <s v="West-Bob"/>
  </r>
  <r>
    <n v="1009"/>
    <d v="2023-03-04T00:00:00"/>
    <x v="1"/>
    <x v="3"/>
    <n v="198.79"/>
    <n v="1"/>
    <x v="2"/>
    <n v="3223.07"/>
    <n v="3590.83"/>
    <s v="New"/>
    <n v="0.19"/>
    <s v="Bank Transfer"/>
    <s v="Retail"/>
    <s v="East-David"/>
  </r>
  <r>
    <n v="1071"/>
    <d v="2023-11-06T00:00:00"/>
    <x v="1"/>
    <x v="0"/>
    <n v="7262.09"/>
    <n v="47"/>
    <x v="1"/>
    <n v="3942.34"/>
    <n v="4142.09"/>
    <s v="Returning"/>
    <n v="0.03"/>
    <s v="Credit Card"/>
    <s v="Retail"/>
    <s v="North-David"/>
  </r>
  <r>
    <n v="1028"/>
    <d v="2023-08-31T00:00:00"/>
    <x v="3"/>
    <x v="0"/>
    <n v="5403"/>
    <n v="28"/>
    <x v="0"/>
    <n v="2055.2800000000002"/>
    <n v="2449.64"/>
    <s v="New"/>
    <n v="0.19"/>
    <s v="Credit Card"/>
    <s v="Online"/>
    <s v="North-Eve"/>
  </r>
  <r>
    <n v="1078"/>
    <d v="2024-01-01T00:00:00"/>
    <x v="1"/>
    <x v="3"/>
    <n v="8377.57"/>
    <n v="42"/>
    <x v="1"/>
    <n v="63.41"/>
    <n v="314.93"/>
    <s v="Returning"/>
    <n v="0.03"/>
    <s v="Cash"/>
    <s v="Retail"/>
    <s v="East-David"/>
  </r>
  <r>
    <n v="1095"/>
    <d v="2023-11-26T00:00:00"/>
    <x v="2"/>
    <x v="1"/>
    <n v="8231.74"/>
    <n v="7"/>
    <x v="1"/>
    <n v="4257.24"/>
    <n v="4355.87"/>
    <s v="Returning"/>
    <n v="0.03"/>
    <s v="Bank Transfer"/>
    <s v="Online"/>
    <s v="West-Charlie"/>
  </r>
  <r>
    <n v="1052"/>
    <d v="2023-04-17T00:00:00"/>
    <x v="4"/>
    <x v="2"/>
    <n v="8448.93"/>
    <n v="2"/>
    <x v="1"/>
    <n v="1935.41"/>
    <n v="2305.44"/>
    <s v="Returning"/>
    <n v="0.22"/>
    <s v="Credit Card"/>
    <s v="Online"/>
    <s v="South-Alice"/>
  </r>
  <r>
    <n v="1083"/>
    <d v="2023-08-14T00:00:00"/>
    <x v="3"/>
    <x v="1"/>
    <n v="4902.4399999999996"/>
    <n v="42"/>
    <x v="2"/>
    <n v="2505.41"/>
    <n v="2638.96"/>
    <s v="New"/>
    <n v="0.1"/>
    <s v="Bank Transfer"/>
    <s v="Online"/>
    <s v="West-Eve"/>
  </r>
  <r>
    <n v="1016"/>
    <d v="2023-11-09T00:00:00"/>
    <x v="2"/>
    <x v="2"/>
    <n v="3402.92"/>
    <n v="24"/>
    <x v="0"/>
    <n v="88.44"/>
    <n v="338.94"/>
    <s v="New"/>
    <n v="0.28999999999999998"/>
    <s v="Cash"/>
    <s v="Online"/>
    <s v="South-Charlie"/>
  </r>
  <r>
    <n v="1069"/>
    <d v="2023-08-06T00:00:00"/>
    <x v="0"/>
    <x v="0"/>
    <n v="7936.43"/>
    <n v="4"/>
    <x v="3"/>
    <n v="2485.86"/>
    <n v="2532.87"/>
    <s v="New"/>
    <n v="0.01"/>
    <s v="Credit Card"/>
    <s v="Online"/>
    <s v="North-Bob"/>
  </r>
  <r>
    <n v="1099"/>
    <d v="2023-08-29T00:00:00"/>
    <x v="4"/>
    <x v="1"/>
    <n v="4567.8100000000004"/>
    <n v="44"/>
    <x v="2"/>
    <n v="4933.1099999999997"/>
    <n v="5245.86"/>
    <s v="Returning"/>
    <n v="0.13"/>
    <s v="Bank Transfer"/>
    <s v="Retail"/>
    <s v="West-Alice"/>
  </r>
  <r>
    <n v="1012"/>
    <d v="2023-09-16T00:00:00"/>
    <x v="1"/>
    <x v="2"/>
    <n v="1916.08"/>
    <n v="19"/>
    <x v="3"/>
    <n v="1427.42"/>
    <n v="1763.69"/>
    <s v="New"/>
    <n v="0.03"/>
    <s v="Cash"/>
    <s v="Retail"/>
    <s v="South-David"/>
  </r>
  <r>
    <n v="1025"/>
    <d v="2023-09-19T00:00:00"/>
    <x v="4"/>
    <x v="3"/>
    <n v="8564.24"/>
    <n v="26"/>
    <x v="3"/>
    <n v="2007.32"/>
    <n v="2202.87"/>
    <s v="Returning"/>
    <n v="0.11"/>
    <s v="Cash"/>
    <s v="Online"/>
    <s v="East-Alice"/>
  </r>
  <r>
    <n v="1052"/>
    <d v="2023-01-05T00:00:00"/>
    <x v="0"/>
    <x v="0"/>
    <n v="8837.34"/>
    <n v="11"/>
    <x v="2"/>
    <n v="3451.59"/>
    <n v="3929.26"/>
    <s v="New"/>
    <n v="0.3"/>
    <s v="Credit Card"/>
    <s v="Retail"/>
    <s v="North-Bob"/>
  </r>
  <r>
    <n v="1085"/>
    <d v="2023-09-18T00:00:00"/>
    <x v="3"/>
    <x v="3"/>
    <n v="4716.47"/>
    <n v="40"/>
    <x v="2"/>
    <n v="4083.23"/>
    <n v="4521.57"/>
    <s v="New"/>
    <n v="0.27"/>
    <s v="Bank Transfer"/>
    <s v="Retail"/>
    <s v="East-Eve"/>
  </r>
  <r>
    <n v="1100"/>
    <d v="2023-02-23T00:00:00"/>
    <x v="3"/>
    <x v="0"/>
    <n v="849.43"/>
    <n v="43"/>
    <x v="0"/>
    <n v="2116.09"/>
    <n v="2472.98"/>
    <s v="New"/>
    <n v="0.01"/>
    <s v="Credit Card"/>
    <s v="Retail"/>
    <s v="North-Eve"/>
  </r>
  <r>
    <n v="1053"/>
    <d v="2023-02-16T00:00:00"/>
    <x v="3"/>
    <x v="1"/>
    <n v="3939.48"/>
    <n v="11"/>
    <x v="0"/>
    <n v="1582.86"/>
    <n v="1942.55"/>
    <s v="New"/>
    <n v="0.17"/>
    <s v="Credit Card"/>
    <s v="Retail"/>
    <s v="West-Eve"/>
  </r>
  <r>
    <n v="1023"/>
    <d v="2023-08-03T00:00:00"/>
    <x v="1"/>
    <x v="1"/>
    <n v="8055.02"/>
    <n v="45"/>
    <x v="1"/>
    <n v="4692.24"/>
    <n v="4825.92"/>
    <s v="Returning"/>
    <n v="0.19"/>
    <s v="Bank Transfer"/>
    <s v="Retail"/>
    <s v="West-David"/>
  </r>
  <r>
    <n v="1016"/>
    <d v="2023-06-26T00:00:00"/>
    <x v="2"/>
    <x v="0"/>
    <n v="9027.56"/>
    <n v="3"/>
    <x v="3"/>
    <n v="3401.87"/>
    <n v="3733.71"/>
    <s v="Returning"/>
    <n v="0.06"/>
    <s v="Bank Transfer"/>
    <s v="Retail"/>
    <s v="North-Charlie"/>
  </r>
  <r>
    <n v="1057"/>
    <d v="2023-01-09T00:00:00"/>
    <x v="2"/>
    <x v="0"/>
    <n v="2114.38"/>
    <n v="12"/>
    <x v="0"/>
    <n v="639.16"/>
    <n v="746.28"/>
    <s v="Returning"/>
    <n v="0.04"/>
    <s v="Bank Transfer"/>
    <s v="Retail"/>
    <s v="North-Charlie"/>
  </r>
  <r>
    <n v="1039"/>
    <d v="2023-04-09T00:00:00"/>
    <x v="4"/>
    <x v="0"/>
    <n v="763.04"/>
    <n v="3"/>
    <x v="1"/>
    <n v="391.19"/>
    <n v="471.75"/>
    <s v="Returning"/>
    <n v="0.27"/>
    <s v="Cash"/>
    <s v="Online"/>
    <s v="North-Alice"/>
  </r>
  <r>
    <n v="1053"/>
    <d v="2023-01-20T00:00:00"/>
    <x v="1"/>
    <x v="1"/>
    <n v="8785.77"/>
    <n v="42"/>
    <x v="0"/>
    <n v="2443.5700000000002"/>
    <n v="2943.31"/>
    <s v="New"/>
    <n v="0.28999999999999998"/>
    <s v="Cash"/>
    <s v="Online"/>
    <s v="West-David"/>
  </r>
  <r>
    <n v="1042"/>
    <d v="2023-08-29T00:00:00"/>
    <x v="3"/>
    <x v="2"/>
    <n v="3955.11"/>
    <n v="27"/>
    <x v="2"/>
    <n v="1139.45"/>
    <n v="1454.41"/>
    <s v="Returning"/>
    <n v="0.3"/>
    <s v="Bank Transfer"/>
    <s v="Online"/>
    <s v="South-Eve"/>
  </r>
  <r>
    <n v="1058"/>
    <d v="2023-03-02T00:00:00"/>
    <x v="3"/>
    <x v="3"/>
    <n v="5463.43"/>
    <n v="49"/>
    <x v="0"/>
    <n v="1307.22"/>
    <n v="1528.4"/>
    <s v="Returning"/>
    <n v="0.24"/>
    <s v="Cash"/>
    <s v="Retail"/>
    <s v="East-Eve"/>
  </r>
  <r>
    <n v="1039"/>
    <d v="2023-06-27T00:00:00"/>
    <x v="0"/>
    <x v="3"/>
    <n v="9683.85"/>
    <n v="2"/>
    <x v="3"/>
    <n v="4394.58"/>
    <n v="4545.78"/>
    <s v="Returning"/>
    <n v="0.2"/>
    <s v="Credit Card"/>
    <s v="Retail"/>
    <s v="East-Bob"/>
  </r>
  <r>
    <n v="1014"/>
    <d v="2023-12-04T00:00:00"/>
    <x v="0"/>
    <x v="1"/>
    <n v="758.99"/>
    <n v="49"/>
    <x v="0"/>
    <n v="493.35"/>
    <n v="799.27"/>
    <s v="New"/>
    <n v="0.1"/>
    <s v="Bank Transfer"/>
    <s v="Online"/>
    <s v="West-Bob"/>
  </r>
  <r>
    <n v="1095"/>
    <d v="2023-03-03T00:00:00"/>
    <x v="3"/>
    <x v="3"/>
    <n v="6518.35"/>
    <n v="16"/>
    <x v="3"/>
    <n v="3591.05"/>
    <n v="3625.35"/>
    <s v="Returning"/>
    <n v="0.05"/>
    <s v="Credit Card"/>
    <s v="Retail"/>
    <s v="East-Eve"/>
  </r>
  <r>
    <n v="1005"/>
    <d v="2023-05-25T00:00:00"/>
    <x v="3"/>
    <x v="0"/>
    <n v="833.64"/>
    <n v="2"/>
    <x v="2"/>
    <n v="1392.15"/>
    <n v="1448.54"/>
    <s v="Returning"/>
    <n v="0.02"/>
    <s v="Bank Transfer"/>
    <s v="Retail"/>
    <s v="North-Eve"/>
  </r>
  <r>
    <n v="1035"/>
    <d v="2023-08-04T00:00:00"/>
    <x v="1"/>
    <x v="2"/>
    <n v="3817.14"/>
    <n v="30"/>
    <x v="3"/>
    <n v="3813.62"/>
    <n v="3839.72"/>
    <s v="New"/>
    <n v="0.21"/>
    <s v="Credit Card"/>
    <s v="Online"/>
    <s v="South-David"/>
  </r>
  <r>
    <n v="1087"/>
    <d v="2023-01-03T00:00:00"/>
    <x v="2"/>
    <x v="3"/>
    <n v="8057.76"/>
    <n v="20"/>
    <x v="0"/>
    <n v="3625.94"/>
    <n v="3880.53"/>
    <s v="New"/>
    <n v="0.24"/>
    <s v="Bank Transfer"/>
    <s v="Online"/>
    <s v="East-Charlie"/>
  </r>
  <r>
    <n v="1093"/>
    <d v="2023-06-09T00:00:00"/>
    <x v="0"/>
    <x v="2"/>
    <n v="4391.38"/>
    <n v="38"/>
    <x v="1"/>
    <n v="86.59"/>
    <n v="390.89"/>
    <s v="Returning"/>
    <n v="0.25"/>
    <s v="Credit Card"/>
    <s v="Online"/>
    <s v="South-Bob"/>
  </r>
  <r>
    <n v="1075"/>
    <d v="2023-08-15T00:00:00"/>
    <x v="2"/>
    <x v="0"/>
    <n v="9972.11"/>
    <n v="28"/>
    <x v="2"/>
    <n v="2570.2199999999998"/>
    <n v="2610.84"/>
    <s v="Returning"/>
    <n v="0.27"/>
    <s v="Bank Transfer"/>
    <s v="Retail"/>
    <s v="North-Charlie"/>
  </r>
  <r>
    <n v="1018"/>
    <d v="2023-09-26T00:00:00"/>
    <x v="1"/>
    <x v="3"/>
    <n v="5634.69"/>
    <n v="25"/>
    <x v="0"/>
    <n v="739.63"/>
    <n v="1103.03"/>
    <s v="New"/>
    <n v="0.26"/>
    <s v="Bank Transfer"/>
    <s v="Retail"/>
    <s v="East-David"/>
  </r>
  <r>
    <n v="1076"/>
    <d v="2023-04-30T00:00:00"/>
    <x v="3"/>
    <x v="1"/>
    <n v="3279.51"/>
    <n v="32"/>
    <x v="2"/>
    <n v="4337.82"/>
    <n v="4460.71"/>
    <s v="Returning"/>
    <n v="0.3"/>
    <s v="Cash"/>
    <s v="Retail"/>
    <s v="West-Eve"/>
  </r>
  <r>
    <n v="1009"/>
    <d v="2023-03-30T00:00:00"/>
    <x v="2"/>
    <x v="2"/>
    <n v="2279.1"/>
    <n v="10"/>
    <x v="2"/>
    <n v="4364.3500000000004"/>
    <n v="4710.1000000000004"/>
    <s v="New"/>
    <n v="7.0000000000000007E-2"/>
    <s v="Credit Card"/>
    <s v="Online"/>
    <s v="South-Charlie"/>
  </r>
  <r>
    <n v="1074"/>
    <d v="2023-11-25T00:00:00"/>
    <x v="3"/>
    <x v="0"/>
    <n v="3570.15"/>
    <n v="42"/>
    <x v="0"/>
    <n v="2120.81"/>
    <n v="2611.94"/>
    <s v="Returning"/>
    <n v="0.23"/>
    <s v="Cash"/>
    <s v="Online"/>
    <s v="North-Eve"/>
  </r>
  <r>
    <n v="1058"/>
    <d v="2023-03-09T00:00:00"/>
    <x v="3"/>
    <x v="2"/>
    <n v="3788.08"/>
    <n v="40"/>
    <x v="0"/>
    <n v="2249.7600000000002"/>
    <n v="2598.4"/>
    <s v="Returning"/>
    <n v="0.18"/>
    <s v="Credit Card"/>
    <s v="Retail"/>
    <s v="South-Eve"/>
  </r>
  <r>
    <n v="1017"/>
    <d v="2023-12-23T00:00:00"/>
    <x v="4"/>
    <x v="3"/>
    <n v="780.27"/>
    <n v="33"/>
    <x v="1"/>
    <n v="1551.25"/>
    <n v="1994.01"/>
    <s v="Returning"/>
    <n v="0.08"/>
    <s v="Cash"/>
    <s v="Online"/>
    <s v="East-Alice"/>
  </r>
  <r>
    <n v="1007"/>
    <d v="2023-04-08T00:00:00"/>
    <x v="2"/>
    <x v="3"/>
    <n v="3758.78"/>
    <n v="13"/>
    <x v="2"/>
    <n v="3597.2"/>
    <n v="4071.82"/>
    <s v="Returning"/>
    <n v="0.28999999999999998"/>
    <s v="Bank Transfer"/>
    <s v="Online"/>
    <s v="East-Charlie"/>
  </r>
  <r>
    <n v="1046"/>
    <d v="2023-09-24T00:00:00"/>
    <x v="2"/>
    <x v="1"/>
    <n v="4695.96"/>
    <n v="41"/>
    <x v="2"/>
    <n v="1825.37"/>
    <n v="2073.88"/>
    <s v="Returning"/>
    <n v="0.27"/>
    <s v="Cash"/>
    <s v="Retail"/>
    <s v="West-Charlie"/>
  </r>
  <r>
    <n v="1013"/>
    <d v="2023-04-15T00:00:00"/>
    <x v="3"/>
    <x v="0"/>
    <n v="7255.1"/>
    <n v="42"/>
    <x v="0"/>
    <n v="1375.57"/>
    <n v="1729.71"/>
    <s v="New"/>
    <n v="0.04"/>
    <s v="Cash"/>
    <s v="Online"/>
    <s v="North-Eve"/>
  </r>
  <r>
    <n v="1040"/>
    <d v="2023-11-19T00:00:00"/>
    <x v="1"/>
    <x v="0"/>
    <n v="6601.62"/>
    <n v="47"/>
    <x v="3"/>
    <n v="2189.54"/>
    <n v="2617"/>
    <s v="New"/>
    <n v="0.01"/>
    <s v="Bank Transfer"/>
    <s v="Online"/>
    <s v="North-David"/>
  </r>
  <r>
    <n v="1042"/>
    <d v="2023-05-03T00:00:00"/>
    <x v="4"/>
    <x v="1"/>
    <n v="7116.78"/>
    <n v="37"/>
    <x v="0"/>
    <n v="502.86"/>
    <n v="687.6"/>
    <s v="Returning"/>
    <n v="0.21"/>
    <s v="Cash"/>
    <s v="Online"/>
    <s v="West-Alice"/>
  </r>
  <r>
    <n v="1009"/>
    <d v="2023-01-29T00:00:00"/>
    <x v="3"/>
    <x v="1"/>
    <n v="182.8"/>
    <n v="16"/>
    <x v="2"/>
    <n v="3745.69"/>
    <n v="3883.77"/>
    <s v="Returning"/>
    <n v="0.18"/>
    <s v="Bank Transfer"/>
    <s v="Retail"/>
    <s v="West-Eve"/>
  </r>
  <r>
    <n v="1050"/>
    <d v="2023-05-17T00:00:00"/>
    <x v="0"/>
    <x v="0"/>
    <n v="2254.91"/>
    <n v="45"/>
    <x v="0"/>
    <n v="112.35"/>
    <n v="586.17999999999995"/>
    <s v="Returning"/>
    <n v="0.28000000000000003"/>
    <s v="Credit Card"/>
    <s v="Retail"/>
    <s v="North-Bob"/>
  </r>
  <r>
    <n v="1027"/>
    <d v="2023-07-14T00:00:00"/>
    <x v="0"/>
    <x v="2"/>
    <n v="6650.67"/>
    <n v="22"/>
    <x v="1"/>
    <n v="3240.2"/>
    <n v="3606.09"/>
    <s v="New"/>
    <n v="7.0000000000000007E-2"/>
    <s v="Cash"/>
    <s v="Online"/>
    <s v="South-Bob"/>
  </r>
  <r>
    <n v="1066"/>
    <d v="2023-08-14T00:00:00"/>
    <x v="4"/>
    <x v="2"/>
    <n v="4891.49"/>
    <n v="20"/>
    <x v="3"/>
    <n v="955.18"/>
    <n v="1072.82"/>
    <s v="New"/>
    <n v="0.03"/>
    <s v="Bank Transfer"/>
    <s v="Retail"/>
    <s v="South-Alice"/>
  </r>
  <r>
    <n v="1005"/>
    <d v="2023-11-28T00:00:00"/>
    <x v="1"/>
    <x v="1"/>
    <n v="152.6"/>
    <n v="43"/>
    <x v="0"/>
    <n v="1200.4000000000001"/>
    <n v="1430.45"/>
    <s v="New"/>
    <n v="0.08"/>
    <s v="Bank Transfer"/>
    <s v="Retail"/>
    <s v="West-David"/>
  </r>
  <r>
    <n v="1029"/>
    <d v="2023-06-19T00:00:00"/>
    <x v="3"/>
    <x v="2"/>
    <n v="8064.5"/>
    <n v="27"/>
    <x v="1"/>
    <n v="3196.38"/>
    <n v="3596.64"/>
    <s v="New"/>
    <n v="0.01"/>
    <s v="Cash"/>
    <s v="Retail"/>
    <s v="South-Eve"/>
  </r>
  <r>
    <n v="1037"/>
    <d v="2023-01-09T00:00:00"/>
    <x v="2"/>
    <x v="0"/>
    <n v="7750.81"/>
    <n v="41"/>
    <x v="2"/>
    <n v="4965.07"/>
    <n v="5243.13"/>
    <s v="New"/>
    <n v="0.01"/>
    <s v="Credit Card"/>
    <s v="Online"/>
    <s v="North-Charlie"/>
  </r>
  <r>
    <n v="1038"/>
    <d v="2023-02-09T00:00:00"/>
    <x v="4"/>
    <x v="3"/>
    <n v="5529.35"/>
    <n v="16"/>
    <x v="0"/>
    <n v="3899.7"/>
    <n v="4228.18"/>
    <s v="New"/>
    <n v="0.27"/>
    <s v="Cash"/>
    <s v="Retail"/>
    <s v="East-Alice"/>
  </r>
  <r>
    <n v="1083"/>
    <d v="2023-01-25T00:00:00"/>
    <x v="1"/>
    <x v="3"/>
    <n v="757.99"/>
    <n v="34"/>
    <x v="2"/>
    <n v="1167.9100000000001"/>
    <n v="1547.26"/>
    <s v="New"/>
    <n v="0.11"/>
    <s v="Bank Transfer"/>
    <s v="Online"/>
    <s v="East-David"/>
  </r>
  <r>
    <n v="1008"/>
    <d v="2023-09-18T00:00:00"/>
    <x v="2"/>
    <x v="2"/>
    <n v="7688.5"/>
    <n v="32"/>
    <x v="1"/>
    <n v="921.32"/>
    <n v="1236.0999999999999"/>
    <s v="New"/>
    <n v="0.12"/>
    <s v="Credit Card"/>
    <s v="Online"/>
    <s v="South-Charlie"/>
  </r>
  <r>
    <n v="1065"/>
    <d v="2023-08-14T00:00:00"/>
    <x v="0"/>
    <x v="1"/>
    <n v="5878.76"/>
    <n v="26"/>
    <x v="2"/>
    <n v="4337.8500000000004"/>
    <n v="4612.49"/>
    <s v="Returning"/>
    <n v="0.01"/>
    <s v="Cash"/>
    <s v="Retail"/>
    <s v="West-Bob"/>
  </r>
  <r>
    <n v="1086"/>
    <d v="2023-05-04T00:00:00"/>
    <x v="0"/>
    <x v="1"/>
    <n v="7841.4"/>
    <n v="25"/>
    <x v="1"/>
    <n v="2248.71"/>
    <n v="2626.02"/>
    <s v="New"/>
    <n v="0.08"/>
    <s v="Bank Transfer"/>
    <s v="Online"/>
    <s v="West-Bob"/>
  </r>
  <r>
    <n v="1017"/>
    <d v="2023-02-07T00:00:00"/>
    <x v="2"/>
    <x v="1"/>
    <n v="7542.3"/>
    <n v="2"/>
    <x v="1"/>
    <n v="728.41"/>
    <n v="1094.92"/>
    <s v="New"/>
    <n v="0.24"/>
    <s v="Cash"/>
    <s v="Retail"/>
    <s v="West-Charlie"/>
  </r>
  <r>
    <n v="1071"/>
    <d v="2023-11-24T00:00:00"/>
    <x v="4"/>
    <x v="1"/>
    <n v="8049.72"/>
    <n v="12"/>
    <x v="1"/>
    <n v="4317.95"/>
    <n v="4636.59"/>
    <s v="New"/>
    <n v="0.18"/>
    <s v="Credit Card"/>
    <s v="Retail"/>
    <s v="West-Alice"/>
  </r>
  <r>
    <n v="1089"/>
    <d v="2023-09-08T00:00:00"/>
    <x v="0"/>
    <x v="1"/>
    <n v="5228.28"/>
    <n v="40"/>
    <x v="0"/>
    <n v="4089.66"/>
    <n v="4275.96"/>
    <s v="New"/>
    <n v="0.23"/>
    <s v="Credit Card"/>
    <s v="Online"/>
    <s v="West-Bob"/>
  </r>
  <r>
    <n v="1045"/>
    <d v="2023-06-25T00:00:00"/>
    <x v="3"/>
    <x v="2"/>
    <n v="1489.21"/>
    <n v="9"/>
    <x v="2"/>
    <n v="4920.34"/>
    <n v="5129.1899999999996"/>
    <s v="Returning"/>
    <n v="0.13"/>
    <s v="Credit Card"/>
    <s v="Online"/>
    <s v="South-Eve"/>
  </r>
  <r>
    <n v="1004"/>
    <d v="2023-03-31T00:00:00"/>
    <x v="2"/>
    <x v="3"/>
    <n v="6744.46"/>
    <n v="12"/>
    <x v="2"/>
    <n v="4553.2299999999996"/>
    <n v="5038.74"/>
    <s v="New"/>
    <n v="0.09"/>
    <s v="Credit Card"/>
    <s v="Retail"/>
    <s v="East-Charlie"/>
  </r>
  <r>
    <n v="1036"/>
    <d v="2023-02-06T00:00:00"/>
    <x v="2"/>
    <x v="3"/>
    <n v="6242.69"/>
    <n v="26"/>
    <x v="3"/>
    <n v="4266.3599999999997"/>
    <n v="4331.43"/>
    <s v="Returning"/>
    <n v="0.14000000000000001"/>
    <s v="Credit Card"/>
    <s v="Retail"/>
    <s v="East-Charlie"/>
  </r>
  <r>
    <n v="1070"/>
    <d v="2023-11-12T00:00:00"/>
    <x v="0"/>
    <x v="2"/>
    <n v="7448.31"/>
    <n v="9"/>
    <x v="3"/>
    <n v="310.24"/>
    <n v="451.81"/>
    <s v="Returning"/>
    <n v="0.1"/>
    <s v="Cash"/>
    <s v="Retail"/>
    <s v="South-Bob"/>
  </r>
  <r>
    <n v="1031"/>
    <d v="2023-06-25T00:00:00"/>
    <x v="4"/>
    <x v="1"/>
    <n v="1781.82"/>
    <n v="10"/>
    <x v="3"/>
    <n v="566.86"/>
    <n v="818.14"/>
    <s v="Returning"/>
    <n v="0.25"/>
    <s v="Credit Card"/>
    <s v="Retail"/>
    <s v="West-Alice"/>
  </r>
  <r>
    <n v="1019"/>
    <d v="2023-10-11T00:00:00"/>
    <x v="3"/>
    <x v="2"/>
    <n v="2030.25"/>
    <n v="32"/>
    <x v="3"/>
    <n v="2866.47"/>
    <n v="3286.47"/>
    <s v="New"/>
    <n v="0.09"/>
    <s v="Credit Card"/>
    <s v="Online"/>
    <s v="South-Eve"/>
  </r>
  <r>
    <n v="1061"/>
    <d v="2023-03-22T00:00:00"/>
    <x v="4"/>
    <x v="3"/>
    <n v="8915.0499999999993"/>
    <n v="34"/>
    <x v="2"/>
    <n v="2680.82"/>
    <n v="2771.02"/>
    <s v="New"/>
    <n v="0.2"/>
    <s v="Bank Transfer"/>
    <s v="Online"/>
    <s v="East-Alice"/>
  </r>
  <r>
    <n v="1054"/>
    <d v="2023-04-24T00:00:00"/>
    <x v="1"/>
    <x v="0"/>
    <n v="7524.78"/>
    <n v="48"/>
    <x v="1"/>
    <n v="2316.92"/>
    <n v="2462.63"/>
    <s v="New"/>
    <n v="0.04"/>
    <s v="Credit Card"/>
    <s v="Online"/>
    <s v="North-David"/>
  </r>
  <r>
    <n v="1039"/>
    <d v="2023-02-09T00:00:00"/>
    <x v="1"/>
    <x v="2"/>
    <n v="9091.4599999999991"/>
    <n v="20"/>
    <x v="1"/>
    <n v="2014.11"/>
    <n v="2056.35"/>
    <s v="Returning"/>
    <n v="0.21"/>
    <s v="Bank Transfer"/>
    <s v="Retail"/>
    <s v="South-David"/>
  </r>
  <r>
    <n v="1091"/>
    <d v="2023-10-28T00:00:00"/>
    <x v="0"/>
    <x v="1"/>
    <n v="7611.28"/>
    <n v="39"/>
    <x v="0"/>
    <n v="2184.4899999999998"/>
    <n v="2540.42"/>
    <s v="Returning"/>
    <n v="0.27"/>
    <s v="Bank Transfer"/>
    <s v="Online"/>
    <s v="West-Bob"/>
  </r>
  <r>
    <n v="1074"/>
    <d v="2023-08-12T00:00:00"/>
    <x v="0"/>
    <x v="3"/>
    <n v="6011.84"/>
    <n v="2"/>
    <x v="1"/>
    <n v="2868.02"/>
    <n v="2994.74"/>
    <s v="Returning"/>
    <n v="0.18"/>
    <s v="Bank Transfer"/>
    <s v="Online"/>
    <s v="East-Bob"/>
  </r>
  <r>
    <n v="1090"/>
    <d v="2023-11-14T00:00:00"/>
    <x v="0"/>
    <x v="3"/>
    <n v="6575.91"/>
    <n v="1"/>
    <x v="2"/>
    <n v="60.28"/>
    <n v="260.73"/>
    <s v="Returning"/>
    <n v="0.17"/>
    <s v="Cash"/>
    <s v="Online"/>
    <s v="East-Bob"/>
  </r>
  <r>
    <n v="1019"/>
    <d v="2023-12-15T00:00:00"/>
    <x v="1"/>
    <x v="3"/>
    <n v="8902.3700000000008"/>
    <n v="36"/>
    <x v="2"/>
    <n v="1340.51"/>
    <n v="1567.92"/>
    <s v="New"/>
    <n v="0.28999999999999998"/>
    <s v="Cash"/>
    <s v="Online"/>
    <s v="East-David"/>
  </r>
  <r>
    <n v="1039"/>
    <d v="2023-04-25T00:00:00"/>
    <x v="4"/>
    <x v="3"/>
    <n v="5830.19"/>
    <n v="24"/>
    <x v="2"/>
    <n v="2615.48"/>
    <n v="3062.22"/>
    <s v="New"/>
    <n v="0.19"/>
    <s v="Bank Transfer"/>
    <s v="Retail"/>
    <s v="East-Alice"/>
  </r>
  <r>
    <n v="1067"/>
    <d v="2023-07-05T00:00:00"/>
    <x v="4"/>
    <x v="1"/>
    <n v="6360.67"/>
    <n v="27"/>
    <x v="0"/>
    <n v="3624.97"/>
    <n v="3836.52"/>
    <s v="New"/>
    <n v="0.08"/>
    <s v="Cash"/>
    <s v="Online"/>
    <s v="West-Alice"/>
  </r>
  <r>
    <n v="1045"/>
    <d v="2023-11-19T00:00:00"/>
    <x v="0"/>
    <x v="0"/>
    <n v="1649.12"/>
    <n v="2"/>
    <x v="3"/>
    <n v="912.08"/>
    <n v="993.24"/>
    <s v="Returning"/>
    <n v="0.09"/>
    <s v="Credit Card"/>
    <s v="Online"/>
    <s v="North-Bob"/>
  </r>
  <r>
    <n v="1013"/>
    <d v="2023-02-25T00:00:00"/>
    <x v="3"/>
    <x v="3"/>
    <n v="4791.82"/>
    <n v="31"/>
    <x v="1"/>
    <n v="2757.06"/>
    <n v="3023.97"/>
    <s v="Returning"/>
    <n v="0.21"/>
    <s v="Cash"/>
    <s v="Online"/>
    <s v="East-Eve"/>
  </r>
  <r>
    <n v="1092"/>
    <d v="2023-02-09T00:00:00"/>
    <x v="4"/>
    <x v="2"/>
    <n v="7192.33"/>
    <n v="14"/>
    <x v="2"/>
    <n v="3586.58"/>
    <n v="4068.43"/>
    <s v="New"/>
    <n v="0.22"/>
    <s v="Credit Card"/>
    <s v="Online"/>
    <s v="South-Alice"/>
  </r>
  <r>
    <n v="1058"/>
    <d v="2023-12-20T00:00:00"/>
    <x v="1"/>
    <x v="0"/>
    <n v="2782.33"/>
    <n v="2"/>
    <x v="2"/>
    <n v="2250.91"/>
    <n v="2558.6799999999998"/>
    <s v="New"/>
    <n v="0.09"/>
    <s v="Credit Card"/>
    <s v="Retail"/>
    <s v="North-David"/>
  </r>
  <r>
    <n v="1020"/>
    <d v="2023-02-09T00:00:00"/>
    <x v="2"/>
    <x v="3"/>
    <n v="2102.3200000000002"/>
    <n v="29"/>
    <x v="3"/>
    <n v="184.05"/>
    <n v="675.91"/>
    <s v="Returning"/>
    <n v="0.1"/>
    <s v="Cash"/>
    <s v="Retail"/>
    <s v="East-Charlie"/>
  </r>
  <r>
    <n v="1092"/>
    <d v="2023-12-13T00:00:00"/>
    <x v="2"/>
    <x v="0"/>
    <n v="3206.89"/>
    <n v="15"/>
    <x v="2"/>
    <n v="2273.88"/>
    <n v="2696.02"/>
    <s v="New"/>
    <n v="0.3"/>
    <s v="Cash"/>
    <s v="Online"/>
    <s v="North-Charlie"/>
  </r>
  <r>
    <n v="1072"/>
    <d v="2023-08-25T00:00:00"/>
    <x v="2"/>
    <x v="2"/>
    <n v="2490.86"/>
    <n v="12"/>
    <x v="1"/>
    <n v="1517.4"/>
    <n v="1545.02"/>
    <s v="New"/>
    <n v="0.03"/>
    <s v="Bank Transfer"/>
    <s v="Retail"/>
    <s v="South-Charlie"/>
  </r>
  <r>
    <n v="1061"/>
    <d v="2023-10-16T00:00:00"/>
    <x v="3"/>
    <x v="3"/>
    <n v="2227.64"/>
    <n v="37"/>
    <x v="0"/>
    <n v="4651.7700000000004"/>
    <n v="4984.3900000000003"/>
    <s v="Returning"/>
    <n v="0.12"/>
    <s v="Cash"/>
    <s v="Retail"/>
    <s v="East-Eve"/>
  </r>
  <r>
    <n v="1039"/>
    <d v="2023-09-19T00:00:00"/>
    <x v="0"/>
    <x v="2"/>
    <n v="4306.0200000000004"/>
    <n v="28"/>
    <x v="2"/>
    <n v="666.84"/>
    <n v="817.36"/>
    <s v="Returning"/>
    <n v="0.02"/>
    <s v="Cash"/>
    <s v="Retail"/>
    <s v="South-Bob"/>
  </r>
  <r>
    <n v="1001"/>
    <d v="2023-08-04T00:00:00"/>
    <x v="1"/>
    <x v="1"/>
    <n v="9087.6"/>
    <n v="20"/>
    <x v="1"/>
    <n v="3279.76"/>
    <n v="3563.97"/>
    <s v="Returning"/>
    <n v="0.25"/>
    <s v="Cash"/>
    <s v="Retail"/>
    <s v="West-David"/>
  </r>
  <r>
    <n v="1003"/>
    <d v="2023-05-27T00:00:00"/>
    <x v="3"/>
    <x v="3"/>
    <n v="5119.8900000000003"/>
    <n v="39"/>
    <x v="2"/>
    <n v="310.95999999999998"/>
    <n v="457.84"/>
    <s v="New"/>
    <n v="0.03"/>
    <s v="Credit Card"/>
    <s v="Online"/>
    <s v="East-Eve"/>
  </r>
  <r>
    <n v="1077"/>
    <d v="2023-12-02T00:00:00"/>
    <x v="1"/>
    <x v="3"/>
    <n v="1960.41"/>
    <n v="24"/>
    <x v="3"/>
    <n v="2258.54"/>
    <n v="2439.4899999999998"/>
    <s v="Returning"/>
    <n v="0.2"/>
    <s v="Credit Card"/>
    <s v="Retail"/>
    <s v="East-David"/>
  </r>
  <r>
    <n v="1092"/>
    <d v="2023-06-17T00:00:00"/>
    <x v="1"/>
    <x v="3"/>
    <n v="862.02"/>
    <n v="21"/>
    <x v="2"/>
    <n v="2792.2"/>
    <n v="3254.55"/>
    <s v="New"/>
    <n v="0.02"/>
    <s v="Credit Card"/>
    <s v="Retail"/>
    <s v="East-David"/>
  </r>
  <r>
    <n v="1062"/>
    <d v="2023-04-02T00:00:00"/>
    <x v="0"/>
    <x v="3"/>
    <n v="6991.95"/>
    <n v="10"/>
    <x v="2"/>
    <n v="1524.88"/>
    <n v="1636.14"/>
    <s v="New"/>
    <n v="0.2"/>
    <s v="Bank Transfer"/>
    <s v="Online"/>
    <s v="East-Bob"/>
  </r>
  <r>
    <n v="1063"/>
    <d v="2023-12-19T00:00:00"/>
    <x v="2"/>
    <x v="1"/>
    <n v="3889.71"/>
    <n v="46"/>
    <x v="0"/>
    <n v="2302.62"/>
    <n v="2740.93"/>
    <s v="Returning"/>
    <n v="0.25"/>
    <s v="Bank Transfer"/>
    <s v="Online"/>
    <s v="West-Charlie"/>
  </r>
  <r>
    <n v="1025"/>
    <d v="2023-02-28T00:00:00"/>
    <x v="0"/>
    <x v="3"/>
    <n v="8236.1299999999992"/>
    <n v="14"/>
    <x v="3"/>
    <n v="859.59"/>
    <n v="884.51"/>
    <s v="New"/>
    <n v="0.12"/>
    <s v="Bank Transfer"/>
    <s v="Online"/>
    <s v="East-Bob"/>
  </r>
  <r>
    <n v="1056"/>
    <d v="2023-02-28T00:00:00"/>
    <x v="3"/>
    <x v="0"/>
    <n v="6629.16"/>
    <n v="37"/>
    <x v="3"/>
    <n v="1555.41"/>
    <n v="1609.94"/>
    <s v="Returning"/>
    <n v="0.16"/>
    <s v="Credit Card"/>
    <s v="Online"/>
    <s v="North-Eve"/>
  </r>
  <r>
    <n v="1033"/>
    <d v="2023-10-31T00:00:00"/>
    <x v="3"/>
    <x v="3"/>
    <n v="7982.79"/>
    <n v="18"/>
    <x v="0"/>
    <n v="3124.48"/>
    <n v="3553.27"/>
    <s v="Returning"/>
    <n v="0.12"/>
    <s v="Cash"/>
    <s v="Retail"/>
    <s v="East-Eve"/>
  </r>
  <r>
    <n v="1038"/>
    <d v="2023-06-18T00:00:00"/>
    <x v="3"/>
    <x v="1"/>
    <n v="2792.27"/>
    <n v="24"/>
    <x v="2"/>
    <n v="1543.91"/>
    <n v="1862.88"/>
    <s v="New"/>
    <n v="0.09"/>
    <s v="Bank Transfer"/>
    <s v="Online"/>
    <s v="West-Eve"/>
  </r>
  <r>
    <n v="1006"/>
    <d v="2023-09-26T00:00:00"/>
    <x v="0"/>
    <x v="3"/>
    <n v="6954.35"/>
    <n v="14"/>
    <x v="1"/>
    <n v="4503.7299999999996"/>
    <n v="4879.88"/>
    <s v="New"/>
    <n v="0.24"/>
    <s v="Bank Transfer"/>
    <s v="Retail"/>
    <s v="East-Bob"/>
  </r>
  <r>
    <n v="1058"/>
    <d v="2023-12-29T00:00:00"/>
    <x v="1"/>
    <x v="0"/>
    <n v="2714.21"/>
    <n v="34"/>
    <x v="3"/>
    <n v="3160.61"/>
    <n v="3273.22"/>
    <s v="Returning"/>
    <n v="0.08"/>
    <s v="Credit Card"/>
    <s v="Retail"/>
    <s v="North-David"/>
  </r>
  <r>
    <n v="1044"/>
    <d v="2023-02-14T00:00:00"/>
    <x v="1"/>
    <x v="1"/>
    <n v="9396.7800000000007"/>
    <n v="12"/>
    <x v="3"/>
    <n v="2221.31"/>
    <n v="2494.48"/>
    <s v="Returning"/>
    <n v="0.22"/>
    <s v="Bank Transfer"/>
    <s v="Online"/>
    <s v="West-David"/>
  </r>
  <r>
    <n v="1045"/>
    <d v="2023-12-11T00:00:00"/>
    <x v="4"/>
    <x v="1"/>
    <n v="6400.11"/>
    <n v="22"/>
    <x v="2"/>
    <n v="241.85"/>
    <n v="613.09"/>
    <s v="Returning"/>
    <n v="0.06"/>
    <s v="Cash"/>
    <s v="Online"/>
    <s v="West-Alice"/>
  </r>
  <r>
    <n v="1032"/>
    <d v="2023-06-30T00:00:00"/>
    <x v="3"/>
    <x v="0"/>
    <n v="3312.67"/>
    <n v="6"/>
    <x v="2"/>
    <n v="2522.7600000000002"/>
    <n v="2840.14"/>
    <s v="Returning"/>
    <n v="7.0000000000000007E-2"/>
    <s v="Credit Card"/>
    <s v="Retail"/>
    <s v="North-Eve"/>
  </r>
  <r>
    <n v="1045"/>
    <d v="2023-06-19T00:00:00"/>
    <x v="1"/>
    <x v="0"/>
    <n v="2768.17"/>
    <n v="36"/>
    <x v="3"/>
    <n v="3835.64"/>
    <n v="4076.77"/>
    <s v="Returning"/>
    <n v="0.1"/>
    <s v="Credit Card"/>
    <s v="Retail"/>
    <s v="North-David"/>
  </r>
  <r>
    <n v="1061"/>
    <d v="2023-12-22T00:00:00"/>
    <x v="4"/>
    <x v="0"/>
    <n v="1990.17"/>
    <n v="45"/>
    <x v="2"/>
    <n v="1364.51"/>
    <n v="1844.8"/>
    <s v="Returning"/>
    <n v="0.18"/>
    <s v="Cash"/>
    <s v="Online"/>
    <s v="North-Alice"/>
  </r>
  <r>
    <n v="1047"/>
    <d v="2023-07-10T00:00:00"/>
    <x v="1"/>
    <x v="0"/>
    <n v="6976.95"/>
    <n v="36"/>
    <x v="1"/>
    <n v="4043.53"/>
    <n v="4384.8500000000004"/>
    <s v="New"/>
    <n v="0.14000000000000001"/>
    <s v="Cash"/>
    <s v="Online"/>
    <s v="North-David"/>
  </r>
  <r>
    <n v="1021"/>
    <d v="2023-06-04T00:00:00"/>
    <x v="3"/>
    <x v="0"/>
    <n v="2265.2800000000002"/>
    <n v="22"/>
    <x v="3"/>
    <n v="1296.44"/>
    <n v="1751.24"/>
    <s v="New"/>
    <n v="0.22"/>
    <s v="Cash"/>
    <s v="Online"/>
    <s v="North-Eve"/>
  </r>
  <r>
    <n v="1080"/>
    <d v="2023-07-07T00:00:00"/>
    <x v="2"/>
    <x v="1"/>
    <n v="5993.5"/>
    <n v="14"/>
    <x v="1"/>
    <n v="4127.54"/>
    <n v="4495.13"/>
    <s v="New"/>
    <n v="0.06"/>
    <s v="Bank Transfer"/>
    <s v="Retail"/>
    <s v="West-Charlie"/>
  </r>
  <r>
    <n v="1085"/>
    <d v="2023-01-07T00:00:00"/>
    <x v="3"/>
    <x v="1"/>
    <n v="2719.89"/>
    <n v="16"/>
    <x v="1"/>
    <n v="472.08"/>
    <n v="842.46"/>
    <s v="New"/>
    <n v="0"/>
    <s v="Cash"/>
    <s v="Retail"/>
    <s v="West-Eve"/>
  </r>
  <r>
    <n v="1075"/>
    <d v="2023-05-13T00:00:00"/>
    <x v="0"/>
    <x v="3"/>
    <n v="6653.49"/>
    <n v="36"/>
    <x v="2"/>
    <n v="4337.6099999999997"/>
    <n v="4386.82"/>
    <s v="Returning"/>
    <n v="0.23"/>
    <s v="Credit Card"/>
    <s v="Online"/>
    <s v="East-Bob"/>
  </r>
  <r>
    <n v="1036"/>
    <d v="2023-08-23T00:00:00"/>
    <x v="1"/>
    <x v="3"/>
    <n v="8167.9"/>
    <n v="25"/>
    <x v="1"/>
    <n v="2520.9699999999998"/>
    <n v="2707.11"/>
    <s v="New"/>
    <n v="0.25"/>
    <s v="Cash"/>
    <s v="Retail"/>
    <s v="East-David"/>
  </r>
  <r>
    <n v="1099"/>
    <d v="2023-02-14T00:00:00"/>
    <x v="1"/>
    <x v="2"/>
    <n v="7802.45"/>
    <n v="32"/>
    <x v="2"/>
    <n v="1517.86"/>
    <n v="1948.46"/>
    <s v="New"/>
    <n v="0.02"/>
    <s v="Credit Card"/>
    <s v="Online"/>
    <s v="South-David"/>
  </r>
  <r>
    <n v="1019"/>
    <d v="2023-11-10T00:00:00"/>
    <x v="0"/>
    <x v="3"/>
    <n v="7632.43"/>
    <n v="33"/>
    <x v="0"/>
    <n v="1362.31"/>
    <n v="1486.29"/>
    <s v="Returning"/>
    <n v="0.18"/>
    <s v="Credit Card"/>
    <s v="Retail"/>
    <s v="East-Bob"/>
  </r>
  <r>
    <n v="1020"/>
    <d v="2023-09-06T00:00:00"/>
    <x v="0"/>
    <x v="3"/>
    <n v="1958.45"/>
    <n v="45"/>
    <x v="2"/>
    <n v="2188.4499999999998"/>
    <n v="2255.0500000000002"/>
    <s v="New"/>
    <n v="0.11"/>
    <s v="Bank Transfer"/>
    <s v="Retail"/>
    <s v="East-Bob"/>
  </r>
  <r>
    <n v="1057"/>
    <d v="2023-01-31T00:00:00"/>
    <x v="2"/>
    <x v="0"/>
    <n v="975.01"/>
    <n v="36"/>
    <x v="1"/>
    <n v="4995.3"/>
    <n v="5165.09"/>
    <s v="Returning"/>
    <n v="0.24"/>
    <s v="Cash"/>
    <s v="Online"/>
    <s v="North-Charlie"/>
  </r>
  <r>
    <n v="1018"/>
    <d v="2023-01-23T00:00:00"/>
    <x v="1"/>
    <x v="0"/>
    <n v="7019.59"/>
    <n v="20"/>
    <x v="0"/>
    <n v="1140.6199999999999"/>
    <n v="1258.6300000000001"/>
    <s v="Returning"/>
    <n v="0.26"/>
    <s v="Bank Transfer"/>
    <s v="Online"/>
    <s v="North-David"/>
  </r>
  <r>
    <n v="1047"/>
    <d v="2023-06-09T00:00:00"/>
    <x v="1"/>
    <x v="3"/>
    <n v="3746.64"/>
    <n v="18"/>
    <x v="2"/>
    <n v="560.91999999999996"/>
    <n v="1024.31"/>
    <s v="Returning"/>
    <n v="0.26"/>
    <s v="Cash"/>
    <s v="Online"/>
    <s v="East-David"/>
  </r>
  <r>
    <n v="1049"/>
    <d v="2023-12-29T00:00:00"/>
    <x v="2"/>
    <x v="2"/>
    <n v="4380.2299999999996"/>
    <n v="38"/>
    <x v="1"/>
    <n v="2945.92"/>
    <n v="3381.22"/>
    <s v="Returning"/>
    <n v="0.23"/>
    <s v="Cash"/>
    <s v="Retail"/>
    <s v="South-Charlie"/>
  </r>
  <r>
    <n v="1014"/>
    <d v="2023-06-07T00:00:00"/>
    <x v="4"/>
    <x v="0"/>
    <n v="408.38"/>
    <n v="3"/>
    <x v="3"/>
    <n v="2468.29"/>
    <n v="2723.13"/>
    <s v="Returning"/>
    <n v="0.08"/>
    <s v="Cash"/>
    <s v="Retail"/>
    <s v="North-Alice"/>
  </r>
  <r>
    <n v="1015"/>
    <d v="2023-02-08T00:00:00"/>
    <x v="2"/>
    <x v="3"/>
    <n v="2669.81"/>
    <n v="23"/>
    <x v="3"/>
    <n v="2644.77"/>
    <n v="2684.83"/>
    <s v="New"/>
    <n v="0.24"/>
    <s v="Cash"/>
    <s v="Online"/>
    <s v="East-Charlie"/>
  </r>
  <r>
    <n v="1031"/>
    <d v="2023-03-23T00:00:00"/>
    <x v="3"/>
    <x v="3"/>
    <n v="433.4"/>
    <n v="32"/>
    <x v="2"/>
    <n v="3351.33"/>
    <n v="3711.47"/>
    <s v="New"/>
    <n v="0.16"/>
    <s v="Cash"/>
    <s v="Retail"/>
    <s v="East-Eve"/>
  </r>
  <r>
    <n v="1001"/>
    <d v="2023-12-22T00:00:00"/>
    <x v="1"/>
    <x v="1"/>
    <n v="8803.94"/>
    <n v="45"/>
    <x v="2"/>
    <n v="1372.36"/>
    <n v="1687.83"/>
    <s v="New"/>
    <n v="0.02"/>
    <s v="Credit Card"/>
    <s v="Online"/>
    <s v="West-David"/>
  </r>
  <r>
    <n v="1054"/>
    <d v="2023-09-15T00:00:00"/>
    <x v="0"/>
    <x v="2"/>
    <n v="2509.63"/>
    <n v="16"/>
    <x v="3"/>
    <n v="4557.79"/>
    <n v="5043.3599999999997"/>
    <s v="Returning"/>
    <n v="0.14000000000000001"/>
    <s v="Credit Card"/>
    <s v="Retail"/>
    <s v="South-Bob"/>
  </r>
  <r>
    <n v="1003"/>
    <d v="2023-07-25T00:00:00"/>
    <x v="3"/>
    <x v="1"/>
    <n v="5617.64"/>
    <n v="5"/>
    <x v="1"/>
    <n v="2206.58"/>
    <n v="2490.4699999999998"/>
    <s v="New"/>
    <n v="0.28000000000000003"/>
    <s v="Cash"/>
    <s v="Online"/>
    <s v="West-Eve"/>
  </r>
  <r>
    <n v="1016"/>
    <d v="2023-03-18T00:00:00"/>
    <x v="1"/>
    <x v="2"/>
    <n v="485.9"/>
    <n v="4"/>
    <x v="1"/>
    <n v="688.98"/>
    <n v="863.81"/>
    <s v="New"/>
    <n v="0.27"/>
    <s v="Credit Card"/>
    <s v="Retail"/>
    <s v="South-David"/>
  </r>
  <r>
    <n v="1087"/>
    <d v="2023-01-12T00:00:00"/>
    <x v="2"/>
    <x v="0"/>
    <n v="6701.79"/>
    <n v="21"/>
    <x v="1"/>
    <n v="3724.38"/>
    <n v="3988.7"/>
    <s v="New"/>
    <n v="0.03"/>
    <s v="Bank Transfer"/>
    <s v="Retail"/>
    <s v="North-Charlie"/>
  </r>
  <r>
    <n v="1057"/>
    <d v="2023-10-22T00:00:00"/>
    <x v="3"/>
    <x v="2"/>
    <n v="3297.97"/>
    <n v="40"/>
    <x v="2"/>
    <n v="3233.37"/>
    <n v="3723.21"/>
    <s v="New"/>
    <n v="0.22"/>
    <s v="Bank Transfer"/>
    <s v="Retail"/>
    <s v="South-Eve"/>
  </r>
  <r>
    <n v="1075"/>
    <d v="2023-08-12T00:00:00"/>
    <x v="1"/>
    <x v="3"/>
    <n v="8989.4"/>
    <n v="14"/>
    <x v="0"/>
    <n v="1612.93"/>
    <n v="1964.15"/>
    <s v="Returning"/>
    <n v="0.24"/>
    <s v="Bank Transfer"/>
    <s v="Retail"/>
    <s v="East-David"/>
  </r>
  <r>
    <n v="1012"/>
    <d v="2023-01-13T00:00:00"/>
    <x v="4"/>
    <x v="3"/>
    <n v="8892.3700000000008"/>
    <n v="39"/>
    <x v="0"/>
    <n v="3126.52"/>
    <n v="3465.79"/>
    <s v="New"/>
    <n v="0.08"/>
    <s v="Cash"/>
    <s v="Online"/>
    <s v="East-Alice"/>
  </r>
  <r>
    <n v="1074"/>
    <d v="2023-02-15T00:00:00"/>
    <x v="4"/>
    <x v="2"/>
    <n v="3320.38"/>
    <n v="31"/>
    <x v="0"/>
    <n v="1138.32"/>
    <n v="1266.25"/>
    <s v="Returning"/>
    <n v="0.14000000000000001"/>
    <s v="Cash"/>
    <s v="Retail"/>
    <s v="South-Alice"/>
  </r>
  <r>
    <n v="1096"/>
    <d v="2023-06-04T00:00:00"/>
    <x v="0"/>
    <x v="2"/>
    <n v="9019.51"/>
    <n v="14"/>
    <x v="0"/>
    <n v="2251.9499999999998"/>
    <n v="2626.32"/>
    <s v="Returning"/>
    <n v="0.21"/>
    <s v="Credit Card"/>
    <s v="Online"/>
    <s v="South-Bob"/>
  </r>
  <r>
    <n v="1016"/>
    <d v="2023-04-23T00:00:00"/>
    <x v="1"/>
    <x v="2"/>
    <n v="9961.9599999999991"/>
    <n v="6"/>
    <x v="0"/>
    <n v="4502.09"/>
    <n v="4879.72"/>
    <s v="New"/>
    <n v="0.13"/>
    <s v="Credit Card"/>
    <s v="Online"/>
    <s v="South-David"/>
  </r>
  <r>
    <n v="1072"/>
    <d v="2023-08-21T00:00:00"/>
    <x v="4"/>
    <x v="1"/>
    <n v="8271.6200000000008"/>
    <n v="12"/>
    <x v="2"/>
    <n v="710.99"/>
    <n v="876.46"/>
    <s v="Returning"/>
    <n v="0.03"/>
    <s v="Credit Card"/>
    <s v="Online"/>
    <s v="West-Alice"/>
  </r>
  <r>
    <n v="1076"/>
    <d v="2023-01-17T00:00:00"/>
    <x v="2"/>
    <x v="2"/>
    <n v="8464.23"/>
    <n v="16"/>
    <x v="2"/>
    <n v="1964.15"/>
    <n v="2211.17"/>
    <s v="Returning"/>
    <n v="0.21"/>
    <s v="Bank Transfer"/>
    <s v="Online"/>
    <s v="South-Charlie"/>
  </r>
  <r>
    <n v="1024"/>
    <d v="2023-12-26T00:00:00"/>
    <x v="1"/>
    <x v="0"/>
    <n v="2565.19"/>
    <n v="17"/>
    <x v="0"/>
    <n v="4114.66"/>
    <n v="4269.0200000000004"/>
    <s v="Returning"/>
    <n v="0.27"/>
    <s v="Bank Transfer"/>
    <s v="Retail"/>
    <s v="North-David"/>
  </r>
  <r>
    <n v="1028"/>
    <d v="2023-08-11T00:00:00"/>
    <x v="2"/>
    <x v="1"/>
    <n v="5809.35"/>
    <n v="45"/>
    <x v="2"/>
    <n v="4848.9799999999996"/>
    <n v="4985.75"/>
    <s v="Returning"/>
    <n v="0.2"/>
    <s v="Bank Transfer"/>
    <s v="Online"/>
    <s v="West-Charlie"/>
  </r>
  <r>
    <n v="1008"/>
    <d v="2023-12-20T00:00:00"/>
    <x v="2"/>
    <x v="1"/>
    <n v="765.83"/>
    <n v="23"/>
    <x v="2"/>
    <n v="2296.9299999999998"/>
    <n v="2319.62"/>
    <s v="Returning"/>
    <n v="0.23"/>
    <s v="Bank Transfer"/>
    <s v="Retail"/>
    <s v="West-Charlie"/>
  </r>
  <r>
    <n v="1092"/>
    <d v="2023-07-07T00:00:00"/>
    <x v="4"/>
    <x v="2"/>
    <n v="1039.69"/>
    <n v="14"/>
    <x v="0"/>
    <n v="2559.65"/>
    <n v="2709.4"/>
    <s v="Returning"/>
    <n v="0.11"/>
    <s v="Credit Card"/>
    <s v="Retail"/>
    <s v="South-Alice"/>
  </r>
  <r>
    <n v="1036"/>
    <d v="2023-12-10T00:00:00"/>
    <x v="1"/>
    <x v="0"/>
    <n v="9989.0400000000009"/>
    <n v="7"/>
    <x v="1"/>
    <n v="2882.25"/>
    <n v="3163.7"/>
    <s v="Returning"/>
    <n v="0.05"/>
    <s v="Cash"/>
    <s v="Retail"/>
    <s v="North-David"/>
  </r>
  <r>
    <n v="1090"/>
    <d v="2023-12-31T00:00:00"/>
    <x v="3"/>
    <x v="1"/>
    <n v="3333.73"/>
    <n v="46"/>
    <x v="2"/>
    <n v="4665.12"/>
    <n v="4675.8999999999996"/>
    <s v="New"/>
    <n v="0.19"/>
    <s v="Cash"/>
    <s v="Retail"/>
    <s v="West-Eve"/>
  </r>
  <r>
    <n v="1008"/>
    <d v="2023-06-12T00:00:00"/>
    <x v="4"/>
    <x v="3"/>
    <n v="7507.02"/>
    <n v="32"/>
    <x v="1"/>
    <n v="4298.12"/>
    <n v="4446.8999999999996"/>
    <s v="New"/>
    <n v="0.1"/>
    <s v="Bank Transfer"/>
    <s v="Online"/>
    <s v="East-Alice"/>
  </r>
  <r>
    <n v="1058"/>
    <d v="2023-11-22T00:00:00"/>
    <x v="4"/>
    <x v="1"/>
    <n v="8085.98"/>
    <n v="15"/>
    <x v="2"/>
    <n v="894.48"/>
    <n v="1336.37"/>
    <s v="Returning"/>
    <n v="0.26"/>
    <s v="Cash"/>
    <s v="Retail"/>
    <s v="West-Alice"/>
  </r>
  <r>
    <n v="1060"/>
    <d v="2023-03-15T00:00:00"/>
    <x v="1"/>
    <x v="2"/>
    <n v="8594.43"/>
    <n v="44"/>
    <x v="2"/>
    <n v="2211.9499999999998"/>
    <n v="2512.84"/>
    <s v="Returning"/>
    <n v="0.04"/>
    <s v="Cash"/>
    <s v="Online"/>
    <s v="South-David"/>
  </r>
  <r>
    <n v="1050"/>
    <d v="2023-08-21T00:00:00"/>
    <x v="1"/>
    <x v="0"/>
    <n v="9976.52"/>
    <n v="17"/>
    <x v="0"/>
    <n v="2346.8000000000002"/>
    <n v="2654.65"/>
    <s v="New"/>
    <n v="0.13"/>
    <s v="Cash"/>
    <s v="Retail"/>
    <s v="North-David"/>
  </r>
  <r>
    <n v="1028"/>
    <d v="2023-08-12T00:00:00"/>
    <x v="2"/>
    <x v="2"/>
    <n v="2490.8200000000002"/>
    <n v="41"/>
    <x v="2"/>
    <n v="3956.03"/>
    <n v="4163.68"/>
    <s v="New"/>
    <n v="0.12"/>
    <s v="Bank Transfer"/>
    <s v="Retail"/>
    <s v="South-Charlie"/>
  </r>
  <r>
    <n v="1092"/>
    <d v="2023-11-15T00:00:00"/>
    <x v="1"/>
    <x v="3"/>
    <n v="499.47"/>
    <n v="47"/>
    <x v="3"/>
    <n v="3034.32"/>
    <n v="3375.79"/>
    <s v="New"/>
    <n v="0.28000000000000003"/>
    <s v="Credit Card"/>
    <s v="Online"/>
    <s v="East-David"/>
  </r>
  <r>
    <n v="1041"/>
    <d v="2023-03-01T00:00:00"/>
    <x v="2"/>
    <x v="3"/>
    <n v="4170.8"/>
    <n v="44"/>
    <x v="3"/>
    <n v="3288.39"/>
    <n v="3391.46"/>
    <s v="New"/>
    <n v="0.05"/>
    <s v="Credit Card"/>
    <s v="Retail"/>
    <s v="East-Charlie"/>
  </r>
  <r>
    <n v="1100"/>
    <d v="2023-12-01T00:00:00"/>
    <x v="4"/>
    <x v="3"/>
    <n v="1387.8"/>
    <n v="34"/>
    <x v="0"/>
    <n v="4991.09"/>
    <n v="5402.28"/>
    <s v="Returning"/>
    <n v="0"/>
    <s v="Cash"/>
    <s v="Retail"/>
    <s v="East-Alice"/>
  </r>
  <r>
    <n v="1064"/>
    <d v="2023-08-10T00:00:00"/>
    <x v="0"/>
    <x v="2"/>
    <n v="322.02"/>
    <n v="5"/>
    <x v="1"/>
    <n v="421.05"/>
    <n v="488.23"/>
    <s v="Returning"/>
    <n v="7.0000000000000007E-2"/>
    <s v="Credit Card"/>
    <s v="Retail"/>
    <s v="South-Bob"/>
  </r>
  <r>
    <n v="1027"/>
    <d v="2023-02-06T00:00:00"/>
    <x v="3"/>
    <x v="1"/>
    <n v="3668.23"/>
    <n v="45"/>
    <x v="1"/>
    <n v="1153.9000000000001"/>
    <n v="1485.34"/>
    <s v="New"/>
    <n v="0.25"/>
    <s v="Credit Card"/>
    <s v="Retail"/>
    <s v="West-Eve"/>
  </r>
  <r>
    <n v="1063"/>
    <d v="2023-10-05T00:00:00"/>
    <x v="4"/>
    <x v="2"/>
    <n v="7859.01"/>
    <n v="27"/>
    <x v="1"/>
    <n v="2069.08"/>
    <n v="2246.2399999999998"/>
    <s v="New"/>
    <n v="0.06"/>
    <s v="Bank Transfer"/>
    <s v="Retail"/>
    <s v="South-Alice"/>
  </r>
  <r>
    <n v="1017"/>
    <d v="2023-07-15T00:00:00"/>
    <x v="1"/>
    <x v="0"/>
    <n v="5705.19"/>
    <n v="23"/>
    <x v="3"/>
    <n v="1771.52"/>
    <n v="2147.8000000000002"/>
    <s v="New"/>
    <n v="7.0000000000000007E-2"/>
    <s v="Bank Transfer"/>
    <s v="Online"/>
    <s v="North-David"/>
  </r>
  <r>
    <n v="1073"/>
    <d v="2023-12-18T00:00:00"/>
    <x v="3"/>
    <x v="1"/>
    <n v="3196.5"/>
    <n v="40"/>
    <x v="1"/>
    <n v="157.15"/>
    <n v="436.53"/>
    <s v="New"/>
    <n v="0.04"/>
    <s v="Cash"/>
    <s v="Retail"/>
    <s v="West-Eve"/>
  </r>
  <r>
    <n v="1033"/>
    <d v="2023-08-30T00:00:00"/>
    <x v="0"/>
    <x v="3"/>
    <n v="6577.99"/>
    <n v="14"/>
    <x v="1"/>
    <n v="504.3"/>
    <n v="735.95"/>
    <s v="Returning"/>
    <n v="0.21"/>
    <s v="Cash"/>
    <s v="Retail"/>
    <s v="East-Bob"/>
  </r>
  <r>
    <n v="1084"/>
    <d v="2023-11-20T00:00:00"/>
    <x v="0"/>
    <x v="2"/>
    <n v="2396.98"/>
    <n v="15"/>
    <x v="0"/>
    <n v="3420.72"/>
    <n v="3513.74"/>
    <s v="New"/>
    <n v="0.02"/>
    <s v="Cash"/>
    <s v="Online"/>
    <s v="South-Bob"/>
  </r>
  <r>
    <n v="1077"/>
    <d v="2023-08-07T00:00:00"/>
    <x v="2"/>
    <x v="3"/>
    <n v="242.38"/>
    <n v="43"/>
    <x v="1"/>
    <n v="4402.66"/>
    <n v="4724.7"/>
    <s v="New"/>
    <n v="0.1"/>
    <s v="Bank Transfer"/>
    <s v="Retail"/>
    <s v="East-Charlie"/>
  </r>
  <r>
    <n v="1092"/>
    <d v="2023-07-11T00:00:00"/>
    <x v="3"/>
    <x v="3"/>
    <n v="7667.1"/>
    <n v="33"/>
    <x v="3"/>
    <n v="2595.42"/>
    <n v="3083.06"/>
    <s v="New"/>
    <n v="0.08"/>
    <s v="Credit Card"/>
    <s v="Online"/>
    <s v="East-Eve"/>
  </r>
  <r>
    <n v="1029"/>
    <d v="2023-01-17T00:00:00"/>
    <x v="2"/>
    <x v="0"/>
    <n v="6275.06"/>
    <n v="31"/>
    <x v="3"/>
    <n v="2719"/>
    <n v="3133.55"/>
    <s v="Returning"/>
    <n v="0.17"/>
    <s v="Bank Transfer"/>
    <s v="Retail"/>
    <s v="North-Charlie"/>
  </r>
  <r>
    <n v="1013"/>
    <d v="2023-01-12T00:00:00"/>
    <x v="4"/>
    <x v="1"/>
    <n v="7646.8"/>
    <n v="35"/>
    <x v="3"/>
    <n v="1312.71"/>
    <n v="1352.11"/>
    <s v="Returning"/>
    <n v="0.22"/>
    <s v="Bank Transfer"/>
    <s v="Retail"/>
    <s v="West-Alice"/>
  </r>
  <r>
    <n v="1046"/>
    <d v="2023-07-12T00:00:00"/>
    <x v="3"/>
    <x v="0"/>
    <n v="485.49"/>
    <n v="17"/>
    <x v="0"/>
    <n v="3850.99"/>
    <n v="4045.34"/>
    <s v="Returning"/>
    <n v="0.16"/>
    <s v="Credit Card"/>
    <s v="Online"/>
    <s v="North-Eve"/>
  </r>
  <r>
    <n v="1035"/>
    <d v="2023-01-22T00:00:00"/>
    <x v="4"/>
    <x v="0"/>
    <n v="8387.48"/>
    <n v="28"/>
    <x v="0"/>
    <n v="3771.38"/>
    <n v="4234.92"/>
    <s v="New"/>
    <n v="0.28000000000000003"/>
    <s v="Credit Card"/>
    <s v="Retail"/>
    <s v="North-Alice"/>
  </r>
  <r>
    <n v="1006"/>
    <d v="2023-04-30T00:00:00"/>
    <x v="2"/>
    <x v="0"/>
    <n v="6233.31"/>
    <n v="19"/>
    <x v="2"/>
    <n v="2962.41"/>
    <n v="3218.9"/>
    <s v="New"/>
    <n v="0.28999999999999998"/>
    <s v="Cash"/>
    <s v="Retail"/>
    <s v="North-Charlie"/>
  </r>
  <r>
    <n v="1082"/>
    <d v="2023-07-29T00:00:00"/>
    <x v="3"/>
    <x v="3"/>
    <n v="5677.61"/>
    <n v="46"/>
    <x v="1"/>
    <n v="1102.69"/>
    <n v="1437.12"/>
    <s v="New"/>
    <n v="0.11"/>
    <s v="Credit Card"/>
    <s v="Online"/>
    <s v="East-Eve"/>
  </r>
  <r>
    <n v="1069"/>
    <d v="2023-11-02T00:00:00"/>
    <x v="2"/>
    <x v="0"/>
    <n v="6283.68"/>
    <n v="23"/>
    <x v="0"/>
    <n v="530.24"/>
    <n v="987.41"/>
    <s v="Returning"/>
    <n v="0.23"/>
    <s v="Credit Card"/>
    <s v="Online"/>
    <s v="North-Charlie"/>
  </r>
  <r>
    <n v="1047"/>
    <d v="2023-09-27T00:00:00"/>
    <x v="3"/>
    <x v="0"/>
    <n v="8657.89"/>
    <n v="32"/>
    <x v="3"/>
    <n v="367.98"/>
    <n v="806.14"/>
    <s v="Returning"/>
    <n v="0.22"/>
    <s v="Credit Card"/>
    <s v="Retail"/>
    <s v="North-Eve"/>
  </r>
  <r>
    <n v="1025"/>
    <d v="2023-07-11T00:00:00"/>
    <x v="2"/>
    <x v="1"/>
    <n v="5910.67"/>
    <n v="40"/>
    <x v="3"/>
    <n v="2983.85"/>
    <n v="3239.74"/>
    <s v="New"/>
    <n v="0.27"/>
    <s v="Credit Card"/>
    <s v="Online"/>
    <s v="West-Charlie"/>
  </r>
  <r>
    <n v="1066"/>
    <d v="2023-06-24T00:00:00"/>
    <x v="0"/>
    <x v="1"/>
    <n v="5851.41"/>
    <n v="13"/>
    <x v="0"/>
    <n v="4133.92"/>
    <n v="4358.37"/>
    <s v="New"/>
    <n v="0.13"/>
    <s v="Cash"/>
    <s v="Retail"/>
    <s v="West-Bob"/>
  </r>
  <r>
    <n v="1010"/>
    <d v="2023-10-12T00:00:00"/>
    <x v="2"/>
    <x v="0"/>
    <n v="9907.7199999999993"/>
    <n v="20"/>
    <x v="0"/>
    <n v="4298.74"/>
    <n v="4475.1899999999996"/>
    <s v="Returning"/>
    <n v="0.16"/>
    <s v="Cash"/>
    <s v="Online"/>
    <s v="North-Charlie"/>
  </r>
  <r>
    <n v="1056"/>
    <d v="2023-07-23T00:00:00"/>
    <x v="0"/>
    <x v="1"/>
    <n v="7591.63"/>
    <n v="35"/>
    <x v="0"/>
    <n v="2344.9299999999998"/>
    <n v="2707.25"/>
    <s v="New"/>
    <n v="0.12"/>
    <s v="Credit Card"/>
    <s v="Retail"/>
    <s v="West-Bob"/>
  </r>
  <r>
    <n v="1030"/>
    <d v="2023-06-13T00:00:00"/>
    <x v="2"/>
    <x v="1"/>
    <n v="4478.71"/>
    <n v="5"/>
    <x v="2"/>
    <n v="3932.14"/>
    <n v="4082.76"/>
    <s v="New"/>
    <n v="0.26"/>
    <s v="Credit Card"/>
    <s v="Online"/>
    <s v="West-Charlie"/>
  </r>
  <r>
    <n v="1005"/>
    <d v="2023-09-08T00:00:00"/>
    <x v="3"/>
    <x v="0"/>
    <n v="7103.23"/>
    <n v="9"/>
    <x v="3"/>
    <n v="4737.0600000000004"/>
    <n v="4869.5"/>
    <s v="New"/>
    <n v="7.0000000000000007E-2"/>
    <s v="Cash"/>
    <s v="Online"/>
    <s v="North-Eve"/>
  </r>
  <r>
    <n v="1033"/>
    <d v="2023-08-15T00:00:00"/>
    <x v="3"/>
    <x v="3"/>
    <n v="3953.38"/>
    <n v="29"/>
    <x v="2"/>
    <n v="1412.09"/>
    <n v="1596.65"/>
    <s v="Returning"/>
    <n v="7.0000000000000007E-2"/>
    <s v="Cash"/>
    <s v="Online"/>
    <s v="East-Eve"/>
  </r>
  <r>
    <n v="1065"/>
    <d v="2023-01-07T00:00:00"/>
    <x v="3"/>
    <x v="0"/>
    <n v="2365.87"/>
    <n v="6"/>
    <x v="2"/>
    <n v="2019.9"/>
    <n v="2116.7399999999998"/>
    <s v="New"/>
    <n v="0.11"/>
    <s v="Credit Card"/>
    <s v="Online"/>
    <s v="North-Eve"/>
  </r>
  <r>
    <n v="1018"/>
    <d v="2023-01-29T00:00:00"/>
    <x v="1"/>
    <x v="1"/>
    <n v="6008.83"/>
    <n v="25"/>
    <x v="1"/>
    <n v="4660.82"/>
    <n v="5011.43"/>
    <s v="New"/>
    <n v="7.0000000000000007E-2"/>
    <s v="Bank Transfer"/>
    <s v="Online"/>
    <s v="West-David"/>
  </r>
  <r>
    <n v="1096"/>
    <d v="2023-02-02T00:00:00"/>
    <x v="4"/>
    <x v="3"/>
    <n v="9289"/>
    <n v="31"/>
    <x v="3"/>
    <n v="1724.24"/>
    <n v="2036.2"/>
    <s v="New"/>
    <n v="0.17"/>
    <s v="Cash"/>
    <s v="Online"/>
    <s v="East-Alice"/>
  </r>
  <r>
    <n v="1049"/>
    <d v="2023-05-14T00:00:00"/>
    <x v="3"/>
    <x v="2"/>
    <n v="9298.48"/>
    <n v="22"/>
    <x v="3"/>
    <n v="4573.6899999999996"/>
    <n v="4820.3"/>
    <s v="New"/>
    <n v="0.04"/>
    <s v="Cash"/>
    <s v="Online"/>
    <s v="South-Eve"/>
  </r>
  <r>
    <n v="1011"/>
    <d v="2023-03-20T00:00:00"/>
    <x v="0"/>
    <x v="3"/>
    <n v="3484.86"/>
    <n v="2"/>
    <x v="0"/>
    <n v="4906.17"/>
    <n v="5107.43"/>
    <s v="Returning"/>
    <n v="0.1"/>
    <s v="Cash"/>
    <s v="Online"/>
    <s v="East-Bob"/>
  </r>
  <r>
    <n v="1085"/>
    <d v="2023-02-27T00:00:00"/>
    <x v="3"/>
    <x v="1"/>
    <n v="5324.01"/>
    <n v="45"/>
    <x v="0"/>
    <n v="3325.96"/>
    <n v="3781.4"/>
    <s v="Returning"/>
    <n v="0.27"/>
    <s v="Credit Card"/>
    <s v="Online"/>
    <s v="West-Eve"/>
  </r>
  <r>
    <n v="1026"/>
    <d v="2023-01-26T00:00:00"/>
    <x v="1"/>
    <x v="3"/>
    <n v="2195.1999999999998"/>
    <n v="5"/>
    <x v="1"/>
    <n v="4093.61"/>
    <n v="4117.88"/>
    <s v="Returning"/>
    <n v="0.12"/>
    <s v="Credit Card"/>
    <s v="Retail"/>
    <s v="East-David"/>
  </r>
  <r>
    <n v="1063"/>
    <d v="2023-08-14T00:00:00"/>
    <x v="0"/>
    <x v="0"/>
    <n v="9956.75"/>
    <n v="27"/>
    <x v="2"/>
    <n v="3760.25"/>
    <n v="4147.1099999999997"/>
    <s v="New"/>
    <n v="0.22"/>
    <s v="Cash"/>
    <s v="Online"/>
    <s v="North-Bob"/>
  </r>
  <r>
    <n v="1089"/>
    <d v="2023-10-12T00:00:00"/>
    <x v="1"/>
    <x v="2"/>
    <n v="9813.07"/>
    <n v="25"/>
    <x v="0"/>
    <n v="3512.69"/>
    <n v="3964.63"/>
    <s v="Returning"/>
    <n v="0.03"/>
    <s v="Credit Card"/>
    <s v="Retail"/>
    <s v="South-David"/>
  </r>
  <r>
    <n v="1086"/>
    <d v="2023-01-04T00:00:00"/>
    <x v="0"/>
    <x v="2"/>
    <n v="6530.14"/>
    <n v="8"/>
    <x v="0"/>
    <n v="1569.31"/>
    <n v="1798.02"/>
    <s v="New"/>
    <n v="7.0000000000000007E-2"/>
    <s v="Credit Card"/>
    <s v="Online"/>
    <s v="South-Bob"/>
  </r>
  <r>
    <n v="1059"/>
    <d v="2023-04-09T00:00:00"/>
    <x v="2"/>
    <x v="2"/>
    <n v="8063.7"/>
    <n v="1"/>
    <x v="3"/>
    <n v="332.62"/>
    <n v="612.46"/>
    <s v="Returning"/>
    <n v="0.24"/>
    <s v="Cash"/>
    <s v="Retail"/>
    <s v="South-Charlie"/>
  </r>
  <r>
    <n v="1027"/>
    <d v="2023-02-08T00:00:00"/>
    <x v="4"/>
    <x v="1"/>
    <n v="7179.49"/>
    <n v="20"/>
    <x v="3"/>
    <n v="1748.11"/>
    <n v="2220.9"/>
    <s v="New"/>
    <n v="0.23"/>
    <s v="Credit Card"/>
    <s v="Retail"/>
    <s v="West-Alice"/>
  </r>
  <r>
    <n v="1049"/>
    <d v="2023-09-28T00:00:00"/>
    <x v="4"/>
    <x v="1"/>
    <n v="5972.27"/>
    <n v="44"/>
    <x v="0"/>
    <n v="3351.33"/>
    <n v="3465.35"/>
    <s v="Returning"/>
    <n v="0.12"/>
    <s v="Bank Transfer"/>
    <s v="Online"/>
    <s v="West-Alice"/>
  </r>
  <r>
    <n v="1077"/>
    <d v="2023-10-12T00:00:00"/>
    <x v="1"/>
    <x v="2"/>
    <n v="628.15"/>
    <n v="23"/>
    <x v="3"/>
    <n v="557.52"/>
    <n v="822.39"/>
    <s v="Returning"/>
    <n v="0.28999999999999998"/>
    <s v="Credit Card"/>
    <s v="Online"/>
    <s v="South-David"/>
  </r>
  <r>
    <n v="1033"/>
    <d v="2023-06-06T00:00:00"/>
    <x v="4"/>
    <x v="3"/>
    <n v="4602.17"/>
    <n v="32"/>
    <x v="1"/>
    <n v="108.99"/>
    <n v="351.6"/>
    <s v="Returning"/>
    <n v="0.27"/>
    <s v="Credit Card"/>
    <s v="Retail"/>
    <s v="East-Alice"/>
  </r>
  <r>
    <n v="1098"/>
    <d v="2023-03-16T00:00:00"/>
    <x v="1"/>
    <x v="2"/>
    <n v="6780.38"/>
    <n v="11"/>
    <x v="0"/>
    <n v="741.48"/>
    <n v="878.09"/>
    <s v="New"/>
    <n v="0.28999999999999998"/>
    <s v="Cash"/>
    <s v="Retail"/>
    <s v="South-David"/>
  </r>
  <r>
    <n v="1099"/>
    <d v="2023-10-15T00:00:00"/>
    <x v="1"/>
    <x v="3"/>
    <n v="6807.56"/>
    <n v="39"/>
    <x v="3"/>
    <n v="3592.89"/>
    <n v="4004"/>
    <s v="New"/>
    <n v="0.13"/>
    <s v="Cash"/>
    <s v="Online"/>
    <s v="East-David"/>
  </r>
  <r>
    <n v="1001"/>
    <d v="2023-05-10T00:00:00"/>
    <x v="1"/>
    <x v="3"/>
    <n v="3793.91"/>
    <n v="47"/>
    <x v="1"/>
    <n v="4865.33"/>
    <n v="5316.13"/>
    <s v="New"/>
    <n v="0.06"/>
    <s v="Bank Transfer"/>
    <s v="Online"/>
    <s v="East-David"/>
  </r>
  <r>
    <n v="1021"/>
    <d v="2023-06-24T00:00:00"/>
    <x v="4"/>
    <x v="1"/>
    <n v="9422.75"/>
    <n v="24"/>
    <x v="3"/>
    <n v="4916.17"/>
    <n v="5309.32"/>
    <s v="Returning"/>
    <n v="0.19"/>
    <s v="Credit Card"/>
    <s v="Online"/>
    <s v="West-Alice"/>
  </r>
  <r>
    <n v="1055"/>
    <d v="2023-03-25T00:00:00"/>
    <x v="1"/>
    <x v="3"/>
    <n v="1756.83"/>
    <n v="11"/>
    <x v="3"/>
    <n v="2495.1999999999998"/>
    <n v="2600.9299999999998"/>
    <s v="New"/>
    <n v="0.21"/>
    <s v="Bank Transfer"/>
    <s v="Retail"/>
    <s v="East-David"/>
  </r>
  <r>
    <n v="1006"/>
    <d v="2023-01-22T00:00:00"/>
    <x v="4"/>
    <x v="2"/>
    <n v="5053.5600000000004"/>
    <n v="29"/>
    <x v="3"/>
    <n v="4353.29"/>
    <n v="4405.8"/>
    <s v="New"/>
    <n v="0.04"/>
    <s v="Bank Transfer"/>
    <s v="Online"/>
    <s v="South-Alice"/>
  </r>
  <r>
    <n v="1092"/>
    <d v="2023-01-27T00:00:00"/>
    <x v="1"/>
    <x v="1"/>
    <n v="6939.75"/>
    <n v="26"/>
    <x v="0"/>
    <n v="3697.29"/>
    <n v="4003.96"/>
    <s v="New"/>
    <n v="0.24"/>
    <s v="Cash"/>
    <s v="Online"/>
    <s v="West-David"/>
  </r>
  <r>
    <n v="1081"/>
    <d v="2023-07-14T00:00:00"/>
    <x v="3"/>
    <x v="0"/>
    <n v="7001.64"/>
    <n v="16"/>
    <x v="2"/>
    <n v="2530.15"/>
    <n v="2568.13"/>
    <s v="New"/>
    <n v="0.01"/>
    <s v="Credit Card"/>
    <s v="Online"/>
    <s v="North-Eve"/>
  </r>
  <r>
    <n v="1069"/>
    <d v="2023-12-03T00:00:00"/>
    <x v="1"/>
    <x v="0"/>
    <n v="6521.53"/>
    <n v="35"/>
    <x v="3"/>
    <n v="2885.16"/>
    <n v="3224.84"/>
    <s v="New"/>
    <n v="0.14000000000000001"/>
    <s v="Cash"/>
    <s v="Online"/>
    <s v="North-David"/>
  </r>
  <r>
    <n v="1095"/>
    <d v="2023-08-24T00:00:00"/>
    <x v="0"/>
    <x v="1"/>
    <n v="2825.35"/>
    <n v="20"/>
    <x v="1"/>
    <n v="729.27"/>
    <n v="999.18"/>
    <s v="New"/>
    <n v="0.1"/>
    <s v="Bank Transfer"/>
    <s v="Online"/>
    <s v="West-Bob"/>
  </r>
  <r>
    <n v="1005"/>
    <d v="2023-04-02T00:00:00"/>
    <x v="1"/>
    <x v="2"/>
    <n v="1646.45"/>
    <n v="46"/>
    <x v="0"/>
    <n v="4691.42"/>
    <n v="5026.1899999999996"/>
    <s v="Returning"/>
    <n v="0.22"/>
    <s v="Bank Transfer"/>
    <s v="Retail"/>
    <s v="South-David"/>
  </r>
  <r>
    <n v="1003"/>
    <d v="2023-01-21T00:00:00"/>
    <x v="2"/>
    <x v="0"/>
    <n v="6395.81"/>
    <n v="3"/>
    <x v="0"/>
    <n v="1792.05"/>
    <n v="2091.23"/>
    <s v="Returning"/>
    <n v="0.09"/>
    <s v="Cash"/>
    <s v="Retail"/>
    <s v="North-Charlie"/>
  </r>
  <r>
    <n v="1053"/>
    <d v="2023-10-30T00:00:00"/>
    <x v="1"/>
    <x v="0"/>
    <n v="6033.09"/>
    <n v="1"/>
    <x v="1"/>
    <n v="2258.44"/>
    <n v="2475.56"/>
    <s v="New"/>
    <n v="0.25"/>
    <s v="Cash"/>
    <s v="Online"/>
    <s v="North-David"/>
  </r>
  <r>
    <n v="1023"/>
    <d v="2023-12-23T00:00:00"/>
    <x v="0"/>
    <x v="3"/>
    <n v="1875.62"/>
    <n v="47"/>
    <x v="3"/>
    <n v="3374.72"/>
    <n v="3483.15"/>
    <s v="Returning"/>
    <n v="0.18"/>
    <s v="Cash"/>
    <s v="Online"/>
    <s v="East-Bob"/>
  </r>
  <r>
    <n v="1053"/>
    <d v="2023-03-25T00:00:00"/>
    <x v="0"/>
    <x v="3"/>
    <n v="7080.88"/>
    <n v="1"/>
    <x v="2"/>
    <n v="1702.82"/>
    <n v="1862.61"/>
    <s v="Returning"/>
    <n v="0.24"/>
    <s v="Cash"/>
    <s v="Retail"/>
    <s v="East-Bob"/>
  </r>
  <r>
    <n v="1037"/>
    <d v="2023-09-19T00:00:00"/>
    <x v="4"/>
    <x v="2"/>
    <n v="4606.2"/>
    <n v="17"/>
    <x v="3"/>
    <n v="1308.58"/>
    <n v="1575.59"/>
    <s v="New"/>
    <n v="0.3"/>
    <s v="Cash"/>
    <s v="Online"/>
    <s v="South-Alice"/>
  </r>
  <r>
    <n v="1074"/>
    <d v="2023-05-27T00:00:00"/>
    <x v="3"/>
    <x v="1"/>
    <n v="6710.83"/>
    <n v="2"/>
    <x v="1"/>
    <n v="3173.69"/>
    <n v="3503.11"/>
    <s v="New"/>
    <n v="0.2"/>
    <s v="Bank Transfer"/>
    <s v="Retail"/>
    <s v="West-Eve"/>
  </r>
  <r>
    <n v="1074"/>
    <d v="2023-09-14T00:00:00"/>
    <x v="1"/>
    <x v="2"/>
    <n v="8389.93"/>
    <n v="29"/>
    <x v="0"/>
    <n v="173.67"/>
    <n v="565.62"/>
    <s v="Returning"/>
    <n v="0.3"/>
    <s v="Cash"/>
    <s v="Online"/>
    <s v="South-David"/>
  </r>
  <r>
    <n v="1083"/>
    <d v="2023-02-27T00:00:00"/>
    <x v="4"/>
    <x v="1"/>
    <n v="1780.31"/>
    <n v="20"/>
    <x v="2"/>
    <n v="3617.59"/>
    <n v="4003.5"/>
    <s v="New"/>
    <n v="0.01"/>
    <s v="Credit Card"/>
    <s v="Retail"/>
    <s v="West-Alice"/>
  </r>
  <r>
    <n v="1017"/>
    <d v="2023-01-15T00:00:00"/>
    <x v="3"/>
    <x v="0"/>
    <n v="289.52999999999997"/>
    <n v="6"/>
    <x v="0"/>
    <n v="2594.42"/>
    <n v="3081.04"/>
    <s v="Returning"/>
    <n v="0.1"/>
    <s v="Bank Transfer"/>
    <s v="Retail"/>
    <s v="North-Eve"/>
  </r>
  <r>
    <n v="1085"/>
    <d v="2023-06-11T00:00:00"/>
    <x v="1"/>
    <x v="3"/>
    <n v="7813.12"/>
    <n v="8"/>
    <x v="1"/>
    <n v="3048.48"/>
    <n v="3198.54"/>
    <s v="Returning"/>
    <n v="0.03"/>
    <s v="Bank Transfer"/>
    <s v="Online"/>
    <s v="East-David"/>
  </r>
  <r>
    <n v="1078"/>
    <d v="2023-06-12T00:00:00"/>
    <x v="2"/>
    <x v="2"/>
    <n v="6136"/>
    <n v="29"/>
    <x v="3"/>
    <n v="3177.81"/>
    <n v="3222.65"/>
    <s v="Returning"/>
    <n v="0.08"/>
    <s v="Credit Card"/>
    <s v="Retail"/>
    <s v="South-Charlie"/>
  </r>
  <r>
    <n v="1073"/>
    <d v="2023-11-16T00:00:00"/>
    <x v="1"/>
    <x v="2"/>
    <n v="7026.43"/>
    <n v="48"/>
    <x v="2"/>
    <n v="2658.9"/>
    <n v="2838.27"/>
    <s v="New"/>
    <n v="0.25"/>
    <s v="Credit Card"/>
    <s v="Online"/>
    <s v="South-David"/>
  </r>
  <r>
    <n v="1001"/>
    <d v="2023-10-08T00:00:00"/>
    <x v="0"/>
    <x v="1"/>
    <n v="8397.73"/>
    <n v="33"/>
    <x v="0"/>
    <n v="2933.54"/>
    <n v="3307.75"/>
    <s v="Returning"/>
    <n v="0.01"/>
    <s v="Bank Transfer"/>
    <s v="Retail"/>
    <s v="West-Bob"/>
  </r>
  <r>
    <n v="1051"/>
    <d v="2023-10-07T00:00:00"/>
    <x v="0"/>
    <x v="1"/>
    <n v="8047.83"/>
    <n v="3"/>
    <x v="0"/>
    <n v="3434.75"/>
    <n v="3659.42"/>
    <s v="New"/>
    <n v="0.16"/>
    <s v="Cash"/>
    <s v="Online"/>
    <s v="West-Bob"/>
  </r>
  <r>
    <n v="1045"/>
    <d v="2023-01-12T00:00:00"/>
    <x v="2"/>
    <x v="2"/>
    <n v="9613.11"/>
    <n v="35"/>
    <x v="0"/>
    <n v="3777.94"/>
    <n v="4188.66"/>
    <s v="New"/>
    <n v="0.17"/>
    <s v="Bank Transfer"/>
    <s v="Online"/>
    <s v="South-Charlie"/>
  </r>
  <r>
    <n v="1077"/>
    <d v="2023-10-01T00:00:00"/>
    <x v="4"/>
    <x v="1"/>
    <n v="5405.76"/>
    <n v="5"/>
    <x v="3"/>
    <n v="3650.89"/>
    <n v="3930.06"/>
    <s v="New"/>
    <n v="0.17"/>
    <s v="Bank Transfer"/>
    <s v="Online"/>
    <s v="West-Alice"/>
  </r>
  <r>
    <n v="1004"/>
    <d v="2023-09-28T00:00:00"/>
    <x v="3"/>
    <x v="2"/>
    <n v="4936.1099999999997"/>
    <n v="27"/>
    <x v="2"/>
    <n v="4354.6000000000004"/>
    <n v="4820.2"/>
    <s v="New"/>
    <n v="0.14000000000000001"/>
    <s v="Credit Card"/>
    <s v="Retail"/>
    <s v="South-Eve"/>
  </r>
  <r>
    <n v="1062"/>
    <d v="2023-07-27T00:00:00"/>
    <x v="1"/>
    <x v="2"/>
    <n v="4078.68"/>
    <n v="44"/>
    <x v="3"/>
    <n v="987.74"/>
    <n v="1462.19"/>
    <s v="New"/>
    <n v="0.24"/>
    <s v="Bank Transfer"/>
    <s v="Online"/>
    <s v="South-David"/>
  </r>
  <r>
    <n v="1065"/>
    <d v="2023-01-27T00:00:00"/>
    <x v="0"/>
    <x v="2"/>
    <n v="1621.54"/>
    <n v="12"/>
    <x v="3"/>
    <n v="2035.68"/>
    <n v="2079.64"/>
    <s v="Returning"/>
    <n v="0.04"/>
    <s v="Cash"/>
    <s v="Online"/>
    <s v="South-Bob"/>
  </r>
  <r>
    <n v="1032"/>
    <d v="2023-03-13T00:00:00"/>
    <x v="4"/>
    <x v="0"/>
    <n v="5768.81"/>
    <n v="20"/>
    <x v="3"/>
    <n v="4741.59"/>
    <n v="4975.2299999999996"/>
    <s v="New"/>
    <n v="0.09"/>
    <s v="Credit Card"/>
    <s v="Online"/>
    <s v="North-Alice"/>
  </r>
  <r>
    <n v="1034"/>
    <d v="2023-03-01T00:00:00"/>
    <x v="2"/>
    <x v="1"/>
    <n v="2842.42"/>
    <n v="45"/>
    <x v="1"/>
    <n v="2013.12"/>
    <n v="2321.87"/>
    <s v="New"/>
    <n v="0.18"/>
    <s v="Bank Transfer"/>
    <s v="Retail"/>
    <s v="West-Charlie"/>
  </r>
  <r>
    <n v="1092"/>
    <d v="2023-05-25T00:00:00"/>
    <x v="0"/>
    <x v="3"/>
    <n v="9220.94"/>
    <n v="20"/>
    <x v="1"/>
    <n v="668.11"/>
    <n v="803.49"/>
    <s v="New"/>
    <n v="0.21"/>
    <s v="Bank Transfer"/>
    <s v="Online"/>
    <s v="East-Bob"/>
  </r>
  <r>
    <n v="1095"/>
    <d v="2023-04-03T00:00:00"/>
    <x v="2"/>
    <x v="3"/>
    <n v="5873.59"/>
    <n v="9"/>
    <x v="1"/>
    <n v="2650.95"/>
    <n v="2860.42"/>
    <s v="New"/>
    <n v="0.12"/>
    <s v="Cash"/>
    <s v="Retail"/>
    <s v="East-Charlie"/>
  </r>
  <r>
    <n v="1072"/>
    <d v="2023-11-05T00:00:00"/>
    <x v="1"/>
    <x v="1"/>
    <n v="5969.12"/>
    <n v="39"/>
    <x v="2"/>
    <n v="591.98"/>
    <n v="934.04"/>
    <s v="New"/>
    <n v="0.26"/>
    <s v="Bank Transfer"/>
    <s v="Retail"/>
    <s v="West-David"/>
  </r>
  <r>
    <n v="1039"/>
    <d v="2023-01-08T00:00:00"/>
    <x v="3"/>
    <x v="2"/>
    <n v="3613.75"/>
    <n v="4"/>
    <x v="3"/>
    <n v="1054.1199999999999"/>
    <n v="1175.22"/>
    <s v="Returning"/>
    <n v="0.12"/>
    <s v="Bank Transfer"/>
    <s v="Retail"/>
    <s v="South-Eve"/>
  </r>
  <r>
    <n v="1026"/>
    <d v="2023-03-20T00:00:00"/>
    <x v="0"/>
    <x v="3"/>
    <n v="614.69000000000005"/>
    <n v="19"/>
    <x v="3"/>
    <n v="4991.68"/>
    <n v="5296.65"/>
    <s v="New"/>
    <n v="0.12"/>
    <s v="Bank Transfer"/>
    <s v="Online"/>
    <s v="East-Bob"/>
  </r>
  <r>
    <n v="1034"/>
    <d v="2023-01-27T00:00:00"/>
    <x v="0"/>
    <x v="3"/>
    <n v="414.26"/>
    <n v="38"/>
    <x v="1"/>
    <n v="2729.75"/>
    <n v="3081.5"/>
    <s v="New"/>
    <n v="0.01"/>
    <s v="Bank Transfer"/>
    <s v="Online"/>
    <s v="East-Bob"/>
  </r>
  <r>
    <n v="1054"/>
    <d v="2023-06-23T00:00:00"/>
    <x v="1"/>
    <x v="1"/>
    <n v="4291.0200000000004"/>
    <n v="27"/>
    <x v="3"/>
    <n v="1456.09"/>
    <n v="1510.43"/>
    <s v="Returning"/>
    <n v="0.17"/>
    <s v="Cash"/>
    <s v="Retail"/>
    <s v="West-David"/>
  </r>
  <r>
    <n v="1003"/>
    <d v="2023-02-19T00:00:00"/>
    <x v="4"/>
    <x v="3"/>
    <n v="937.2"/>
    <n v="45"/>
    <x v="3"/>
    <n v="4974.1400000000003"/>
    <n v="5227.93"/>
    <s v="New"/>
    <n v="0.21"/>
    <s v="Bank Transfer"/>
    <s v="Online"/>
    <s v="East-Alice"/>
  </r>
  <r>
    <n v="1050"/>
    <d v="2023-07-18T00:00:00"/>
    <x v="3"/>
    <x v="2"/>
    <n v="6107.78"/>
    <n v="43"/>
    <x v="0"/>
    <n v="4834.47"/>
    <n v="4973.38"/>
    <s v="Returning"/>
    <n v="0.03"/>
    <s v="Bank Transfer"/>
    <s v="Online"/>
    <s v="South-Eve"/>
  </r>
  <r>
    <n v="1012"/>
    <d v="2023-12-15T00:00:00"/>
    <x v="0"/>
    <x v="1"/>
    <n v="8821.6299999999992"/>
    <n v="13"/>
    <x v="3"/>
    <n v="2231.66"/>
    <n v="2596.61"/>
    <s v="Returning"/>
    <n v="0.09"/>
    <s v="Bank Transfer"/>
    <s v="Retail"/>
    <s v="West-Bob"/>
  </r>
  <r>
    <n v="1065"/>
    <d v="2023-06-30T00:00:00"/>
    <x v="3"/>
    <x v="2"/>
    <n v="8840.86"/>
    <n v="13"/>
    <x v="0"/>
    <n v="1339"/>
    <n v="1441.88"/>
    <s v="Returning"/>
    <n v="0.23"/>
    <s v="Credit Card"/>
    <s v="Retail"/>
    <s v="South-Eve"/>
  </r>
  <r>
    <n v="1054"/>
    <d v="2023-01-24T00:00:00"/>
    <x v="0"/>
    <x v="3"/>
    <n v="6624.55"/>
    <n v="22"/>
    <x v="3"/>
    <n v="4200.08"/>
    <n v="4647.28"/>
    <s v="Returning"/>
    <n v="0.11"/>
    <s v="Cash"/>
    <s v="Online"/>
    <s v="East-Bob"/>
  </r>
  <r>
    <n v="1005"/>
    <d v="2023-11-12T00:00:00"/>
    <x v="3"/>
    <x v="3"/>
    <n v="2191.1999999999998"/>
    <n v="28"/>
    <x v="2"/>
    <n v="3592.32"/>
    <n v="3813.48"/>
    <s v="New"/>
    <n v="7.0000000000000007E-2"/>
    <s v="Credit Card"/>
    <s v="Retail"/>
    <s v="East-Eve"/>
  </r>
  <r>
    <n v="1094"/>
    <d v="2023-02-15T00:00:00"/>
    <x v="2"/>
    <x v="2"/>
    <n v="8643.67"/>
    <n v="47"/>
    <x v="1"/>
    <n v="3450.36"/>
    <n v="3557.38"/>
    <s v="New"/>
    <n v="0.2"/>
    <s v="Credit Card"/>
    <s v="Online"/>
    <s v="South-Charlie"/>
  </r>
  <r>
    <n v="1094"/>
    <d v="2023-01-15T00:00:00"/>
    <x v="0"/>
    <x v="0"/>
    <n v="8872.33"/>
    <n v="45"/>
    <x v="0"/>
    <n v="4470.91"/>
    <n v="4695.54"/>
    <s v="Returning"/>
    <n v="0.06"/>
    <s v="Cash"/>
    <s v="Retail"/>
    <s v="North-Bob"/>
  </r>
  <r>
    <n v="1057"/>
    <d v="2023-06-02T00:00:00"/>
    <x v="3"/>
    <x v="3"/>
    <n v="2046.87"/>
    <n v="22"/>
    <x v="1"/>
    <n v="3462.61"/>
    <n v="3672.89"/>
    <s v="Returning"/>
    <n v="0.27"/>
    <s v="Credit Card"/>
    <s v="Online"/>
    <s v="East-Eve"/>
  </r>
  <r>
    <n v="1017"/>
    <d v="2023-08-10T00:00:00"/>
    <x v="4"/>
    <x v="0"/>
    <n v="7400.52"/>
    <n v="43"/>
    <x v="0"/>
    <n v="1454.8"/>
    <n v="1674.97"/>
    <s v="New"/>
    <n v="0.03"/>
    <s v="Credit Card"/>
    <s v="Online"/>
    <s v="North-Alice"/>
  </r>
  <r>
    <n v="1047"/>
    <d v="2023-07-25T00:00:00"/>
    <x v="2"/>
    <x v="3"/>
    <n v="2936.54"/>
    <n v="19"/>
    <x v="0"/>
    <n v="3484.62"/>
    <n v="3781.55"/>
    <s v="Returning"/>
    <n v="0.21"/>
    <s v="Credit Card"/>
    <s v="Retail"/>
    <s v="East-Charlie"/>
  </r>
  <r>
    <n v="1023"/>
    <d v="2023-09-30T00:00:00"/>
    <x v="2"/>
    <x v="0"/>
    <n v="8046.14"/>
    <n v="8"/>
    <x v="0"/>
    <n v="1563.78"/>
    <n v="1829.16"/>
    <s v="Returning"/>
    <n v="0.15"/>
    <s v="Cash"/>
    <s v="Online"/>
    <s v="North-Charlie"/>
  </r>
  <r>
    <n v="1079"/>
    <d v="2023-08-24T00:00:00"/>
    <x v="4"/>
    <x v="0"/>
    <n v="9972.66"/>
    <n v="8"/>
    <x v="2"/>
    <n v="3808.23"/>
    <n v="3891.62"/>
    <s v="Returning"/>
    <n v="0.26"/>
    <s v="Bank Transfer"/>
    <s v="Online"/>
    <s v="North-Alice"/>
  </r>
  <r>
    <n v="1085"/>
    <d v="2023-12-06T00:00:00"/>
    <x v="3"/>
    <x v="0"/>
    <n v="397.26"/>
    <n v="42"/>
    <x v="3"/>
    <n v="3117.75"/>
    <n v="3159.88"/>
    <s v="New"/>
    <n v="0.04"/>
    <s v="Cash"/>
    <s v="Retail"/>
    <s v="North-Eve"/>
  </r>
  <r>
    <n v="1014"/>
    <d v="2023-08-16T00:00:00"/>
    <x v="1"/>
    <x v="2"/>
    <n v="8983.92"/>
    <n v="26"/>
    <x v="0"/>
    <n v="433.19"/>
    <n v="800.6"/>
    <s v="Returning"/>
    <n v="0.2"/>
    <s v="Cash"/>
    <s v="Online"/>
    <s v="South-David"/>
  </r>
  <r>
    <n v="1066"/>
    <d v="2023-01-09T00:00:00"/>
    <x v="4"/>
    <x v="0"/>
    <n v="6264.04"/>
    <n v="48"/>
    <x v="2"/>
    <n v="2588.54"/>
    <n v="2872.8"/>
    <s v="New"/>
    <n v="0.17"/>
    <s v="Cash"/>
    <s v="Online"/>
    <s v="North-Alice"/>
  </r>
  <r>
    <n v="1075"/>
    <d v="2023-06-15T00:00:00"/>
    <x v="3"/>
    <x v="0"/>
    <n v="9736.49"/>
    <n v="26"/>
    <x v="0"/>
    <n v="1749.34"/>
    <n v="1935.25"/>
    <s v="New"/>
    <n v="0.14000000000000001"/>
    <s v="Credit Card"/>
    <s v="Online"/>
    <s v="North-Eve"/>
  </r>
  <r>
    <n v="1051"/>
    <d v="2023-11-15T00:00:00"/>
    <x v="4"/>
    <x v="0"/>
    <n v="4703.59"/>
    <n v="23"/>
    <x v="3"/>
    <n v="1676.42"/>
    <n v="2082.52"/>
    <s v="New"/>
    <n v="0.15"/>
    <s v="Bank Transfer"/>
    <s v="Retail"/>
    <s v="North-Alice"/>
  </r>
  <r>
    <n v="1038"/>
    <d v="2023-08-02T00:00:00"/>
    <x v="4"/>
    <x v="3"/>
    <n v="8489.14"/>
    <n v="43"/>
    <x v="0"/>
    <n v="3031.17"/>
    <n v="3231.32"/>
    <s v="Returning"/>
    <n v="0.22"/>
    <s v="Cash"/>
    <s v="Retail"/>
    <s v="East-Alice"/>
  </r>
  <r>
    <n v="1064"/>
    <d v="2023-04-27T00:00:00"/>
    <x v="0"/>
    <x v="0"/>
    <n v="717.7"/>
    <n v="13"/>
    <x v="2"/>
    <n v="1645.51"/>
    <n v="2045.53"/>
    <s v="Returning"/>
    <n v="0.28000000000000003"/>
    <s v="Cash"/>
    <s v="Retail"/>
    <s v="North-Bob"/>
  </r>
  <r>
    <n v="1098"/>
    <d v="2023-12-10T00:00:00"/>
    <x v="3"/>
    <x v="3"/>
    <n v="3419.26"/>
    <n v="28"/>
    <x v="3"/>
    <n v="3895.62"/>
    <n v="4055.44"/>
    <s v="New"/>
    <n v="0.03"/>
    <s v="Bank Transfer"/>
    <s v="Retail"/>
    <s v="East-Eve"/>
  </r>
  <r>
    <n v="1038"/>
    <d v="2023-03-13T00:00:00"/>
    <x v="1"/>
    <x v="0"/>
    <n v="763.46"/>
    <n v="9"/>
    <x v="2"/>
    <n v="400.42"/>
    <n v="446.11"/>
    <s v="New"/>
    <n v="0.01"/>
    <s v="Bank Transfer"/>
    <s v="Retail"/>
    <s v="North-David"/>
  </r>
  <r>
    <n v="1050"/>
    <d v="2023-03-05T00:00:00"/>
    <x v="0"/>
    <x v="0"/>
    <n v="9755.9"/>
    <n v="20"/>
    <x v="3"/>
    <n v="3318.92"/>
    <n v="3785.91"/>
    <s v="New"/>
    <n v="0.24"/>
    <s v="Bank Transfer"/>
    <s v="Online"/>
    <s v="North-Bob"/>
  </r>
  <r>
    <n v="1098"/>
    <d v="2023-07-24T00:00:00"/>
    <x v="4"/>
    <x v="2"/>
    <n v="8188.04"/>
    <n v="19"/>
    <x v="3"/>
    <n v="4055.51"/>
    <n v="4258.84"/>
    <s v="Returning"/>
    <n v="0.03"/>
    <s v="Credit Card"/>
    <s v="Online"/>
    <s v="South-Alice"/>
  </r>
  <r>
    <n v="1082"/>
    <d v="2023-07-28T00:00:00"/>
    <x v="4"/>
    <x v="3"/>
    <n v="8540.2199999999993"/>
    <n v="48"/>
    <x v="1"/>
    <n v="3380.52"/>
    <n v="3778.94"/>
    <s v="Returning"/>
    <n v="0.3"/>
    <s v="Bank Transfer"/>
    <s v="Online"/>
    <s v="East-Alice"/>
  </r>
  <r>
    <n v="1030"/>
    <d v="2023-03-13T00:00:00"/>
    <x v="4"/>
    <x v="0"/>
    <n v="9385.86"/>
    <n v="39"/>
    <x v="1"/>
    <n v="2511.2800000000002"/>
    <n v="2658.06"/>
    <s v="New"/>
    <n v="0.19"/>
    <s v="Credit Card"/>
    <s v="Retail"/>
    <s v="North-Alice"/>
  </r>
  <r>
    <n v="1079"/>
    <d v="2023-10-04T00:00:00"/>
    <x v="3"/>
    <x v="3"/>
    <n v="942.52"/>
    <n v="12"/>
    <x v="1"/>
    <n v="4754.0200000000004"/>
    <n v="5080.74"/>
    <s v="New"/>
    <n v="0.2"/>
    <s v="Cash"/>
    <s v="Online"/>
    <s v="East-Eve"/>
  </r>
  <r>
    <n v="1091"/>
    <d v="2023-10-01T00:00:00"/>
    <x v="3"/>
    <x v="3"/>
    <n v="3917.42"/>
    <n v="15"/>
    <x v="3"/>
    <n v="1534.7"/>
    <n v="1972.62"/>
    <s v="Returning"/>
    <n v="0.06"/>
    <s v="Credit Card"/>
    <s v="Retail"/>
    <s v="East-Eve"/>
  </r>
  <r>
    <n v="1051"/>
    <d v="2023-11-16T00:00:00"/>
    <x v="0"/>
    <x v="1"/>
    <n v="803.25"/>
    <n v="31"/>
    <x v="0"/>
    <n v="144.88"/>
    <n v="175.29"/>
    <s v="New"/>
    <n v="7.0000000000000007E-2"/>
    <s v="Bank Transfer"/>
    <s v="Online"/>
    <s v="West-Bob"/>
  </r>
  <r>
    <n v="1063"/>
    <d v="2023-12-04T00:00:00"/>
    <x v="1"/>
    <x v="2"/>
    <n v="2186.85"/>
    <n v="14"/>
    <x v="2"/>
    <n v="2188.35"/>
    <n v="2605.36"/>
    <s v="Returning"/>
    <n v="0.2"/>
    <s v="Credit Card"/>
    <s v="Retail"/>
    <s v="South-David"/>
  </r>
  <r>
    <n v="1098"/>
    <d v="2024-01-01T00:00:00"/>
    <x v="0"/>
    <x v="2"/>
    <n v="2370.7199999999998"/>
    <n v="11"/>
    <x v="2"/>
    <n v="213.41"/>
    <n v="503.36"/>
    <s v="Returning"/>
    <n v="0.27"/>
    <s v="Bank Transfer"/>
    <s v="Online"/>
    <s v="South-Bob"/>
  </r>
  <r>
    <n v="1052"/>
    <d v="2023-04-05T00:00:00"/>
    <x v="2"/>
    <x v="2"/>
    <n v="4744.16"/>
    <n v="26"/>
    <x v="2"/>
    <n v="4771.99"/>
    <n v="5079.6499999999996"/>
    <s v="New"/>
    <n v="0.28999999999999998"/>
    <s v="Credit Card"/>
    <s v="Online"/>
    <s v="South-Charlie"/>
  </r>
  <r>
    <n v="1038"/>
    <d v="2023-06-15T00:00:00"/>
    <x v="4"/>
    <x v="1"/>
    <n v="2758.77"/>
    <n v="42"/>
    <x v="1"/>
    <n v="1089.0899999999999"/>
    <n v="1355.44"/>
    <s v="New"/>
    <n v="0.06"/>
    <s v="Cash"/>
    <s v="Retail"/>
    <s v="West-Alice"/>
  </r>
  <r>
    <n v="1097"/>
    <d v="2023-02-01T00:00:00"/>
    <x v="4"/>
    <x v="1"/>
    <n v="1099.68"/>
    <n v="27"/>
    <x v="3"/>
    <n v="3955.19"/>
    <n v="4393.68"/>
    <s v="Returning"/>
    <n v="0.04"/>
    <s v="Credit Card"/>
    <s v="Online"/>
    <s v="West-Alice"/>
  </r>
  <r>
    <n v="1088"/>
    <d v="2023-01-11T00:00:00"/>
    <x v="4"/>
    <x v="2"/>
    <n v="1758.16"/>
    <n v="11"/>
    <x v="1"/>
    <n v="3884.13"/>
    <n v="3915.41"/>
    <s v="Returning"/>
    <n v="0.02"/>
    <s v="Cash"/>
    <s v="Online"/>
    <s v="South-Alice"/>
  </r>
  <r>
    <n v="1079"/>
    <d v="2023-10-28T00:00:00"/>
    <x v="0"/>
    <x v="1"/>
    <n v="1558.03"/>
    <n v="38"/>
    <x v="0"/>
    <n v="1127.76"/>
    <n v="1265.6600000000001"/>
    <s v="Returning"/>
    <n v="0.26"/>
    <s v="Bank Transfer"/>
    <s v="Retail"/>
    <s v="West-Bob"/>
  </r>
  <r>
    <n v="1030"/>
    <d v="2023-08-05T00:00:00"/>
    <x v="0"/>
    <x v="1"/>
    <n v="9733.4599999999991"/>
    <n v="34"/>
    <x v="3"/>
    <n v="3125.07"/>
    <n v="3564.19"/>
    <s v="Returning"/>
    <n v="0.09"/>
    <s v="Cash"/>
    <s v="Online"/>
    <s v="West-Bob"/>
  </r>
  <r>
    <n v="1051"/>
    <d v="2023-10-16T00:00:00"/>
    <x v="4"/>
    <x v="1"/>
    <n v="7617"/>
    <n v="43"/>
    <x v="2"/>
    <n v="287.99"/>
    <n v="666.64"/>
    <s v="Returning"/>
    <n v="0"/>
    <s v="Bank Transfer"/>
    <s v="Online"/>
    <s v="West-Alice"/>
  </r>
  <r>
    <n v="1081"/>
    <d v="2023-04-12T00:00:00"/>
    <x v="0"/>
    <x v="2"/>
    <n v="9680.84"/>
    <n v="19"/>
    <x v="1"/>
    <n v="2443.69"/>
    <n v="2462.34"/>
    <s v="New"/>
    <n v="7.0000000000000007E-2"/>
    <s v="Bank Transfer"/>
    <s v="Retail"/>
    <s v="South-Bob"/>
  </r>
  <r>
    <n v="1005"/>
    <d v="2023-09-24T00:00:00"/>
    <x v="3"/>
    <x v="2"/>
    <n v="4453.43"/>
    <n v="6"/>
    <x v="1"/>
    <n v="122.5"/>
    <n v="385.83"/>
    <s v="Returning"/>
    <n v="0.1"/>
    <s v="Cash"/>
    <s v="Retail"/>
    <s v="South-Eve"/>
  </r>
  <r>
    <n v="1029"/>
    <d v="2023-08-02T00:00:00"/>
    <x v="3"/>
    <x v="2"/>
    <n v="2855.85"/>
    <n v="46"/>
    <x v="0"/>
    <n v="4609.66"/>
    <n v="4879.1499999999996"/>
    <s v="Returning"/>
    <n v="0.3"/>
    <s v="Cash"/>
    <s v="Retail"/>
    <s v="South-Eve"/>
  </r>
  <r>
    <n v="1004"/>
    <d v="2023-06-28T00:00:00"/>
    <x v="0"/>
    <x v="1"/>
    <n v="8003.1"/>
    <n v="38"/>
    <x v="0"/>
    <n v="4881.63"/>
    <n v="5088.0600000000004"/>
    <s v="Returning"/>
    <n v="0.16"/>
    <s v="Credit Card"/>
    <s v="Retail"/>
    <s v="West-Bob"/>
  </r>
  <r>
    <n v="1010"/>
    <d v="2023-03-29T00:00:00"/>
    <x v="4"/>
    <x v="2"/>
    <n v="3329.91"/>
    <n v="49"/>
    <x v="1"/>
    <n v="1150.3"/>
    <n v="1306.02"/>
    <s v="New"/>
    <n v="0.06"/>
    <s v="Credit Card"/>
    <s v="Retail"/>
    <s v="South-Alice"/>
  </r>
  <r>
    <n v="1056"/>
    <d v="2023-02-10T00:00:00"/>
    <x v="0"/>
    <x v="1"/>
    <n v="3063.9"/>
    <n v="42"/>
    <x v="0"/>
    <n v="1080.1199999999999"/>
    <n v="1424.17"/>
    <s v="New"/>
    <n v="0.1"/>
    <s v="Cash"/>
    <s v="Online"/>
    <s v="West-Bob"/>
  </r>
  <r>
    <n v="1017"/>
    <d v="2023-03-17T00:00:00"/>
    <x v="0"/>
    <x v="0"/>
    <n v="2401.81"/>
    <n v="28"/>
    <x v="2"/>
    <n v="3780.91"/>
    <n v="3892.73"/>
    <s v="Returning"/>
    <n v="0.1"/>
    <s v="Cash"/>
    <s v="Retail"/>
    <s v="North-Bob"/>
  </r>
  <r>
    <n v="1074"/>
    <d v="2023-02-15T00:00:00"/>
    <x v="0"/>
    <x v="1"/>
    <n v="1383.82"/>
    <n v="1"/>
    <x v="0"/>
    <n v="1304.23"/>
    <n v="1705.71"/>
    <s v="Returning"/>
    <n v="0.01"/>
    <s v="Cash"/>
    <s v="Retail"/>
    <s v="West-Bob"/>
  </r>
  <r>
    <n v="1017"/>
    <d v="2023-06-09T00:00:00"/>
    <x v="2"/>
    <x v="3"/>
    <n v="2638.98"/>
    <n v="35"/>
    <x v="0"/>
    <n v="4480.63"/>
    <n v="4884.12"/>
    <s v="New"/>
    <n v="0.04"/>
    <s v="Cash"/>
    <s v="Online"/>
    <s v="East-Charlie"/>
  </r>
  <r>
    <n v="1084"/>
    <d v="2023-03-21T00:00:00"/>
    <x v="3"/>
    <x v="2"/>
    <n v="3617.67"/>
    <n v="40"/>
    <x v="1"/>
    <n v="2890.95"/>
    <n v="3104.43"/>
    <s v="New"/>
    <n v="0.21"/>
    <s v="Bank Transfer"/>
    <s v="Online"/>
    <s v="South-Eve"/>
  </r>
  <r>
    <n v="1088"/>
    <d v="2023-11-06T00:00:00"/>
    <x v="1"/>
    <x v="2"/>
    <n v="6772.54"/>
    <n v="8"/>
    <x v="1"/>
    <n v="1786.35"/>
    <n v="1935.29"/>
    <s v="New"/>
    <n v="0.04"/>
    <s v="Cash"/>
    <s v="Online"/>
    <s v="South-David"/>
  </r>
  <r>
    <n v="1069"/>
    <d v="2023-03-27T00:00:00"/>
    <x v="1"/>
    <x v="3"/>
    <n v="719.39"/>
    <n v="47"/>
    <x v="3"/>
    <n v="4171.83"/>
    <n v="4320.93"/>
    <s v="New"/>
    <n v="7.0000000000000007E-2"/>
    <s v="Cash"/>
    <s v="Online"/>
    <s v="East-David"/>
  </r>
  <r>
    <n v="1034"/>
    <d v="2023-04-02T00:00:00"/>
    <x v="2"/>
    <x v="1"/>
    <n v="2184.02"/>
    <n v="7"/>
    <x v="3"/>
    <n v="2492.36"/>
    <n v="2738.68"/>
    <s v="Returning"/>
    <n v="0.11"/>
    <s v="Cash"/>
    <s v="Online"/>
    <s v="West-Charlie"/>
  </r>
  <r>
    <n v="1006"/>
    <d v="2023-05-28T00:00:00"/>
    <x v="0"/>
    <x v="0"/>
    <n v="8109.33"/>
    <n v="11"/>
    <x v="1"/>
    <n v="4562.58"/>
    <n v="4925.17"/>
    <s v="New"/>
    <n v="0.23"/>
    <s v="Cash"/>
    <s v="Retail"/>
    <s v="North-Bob"/>
  </r>
  <r>
    <n v="1053"/>
    <d v="2023-06-10T00:00:00"/>
    <x v="2"/>
    <x v="3"/>
    <n v="1554.53"/>
    <n v="39"/>
    <x v="0"/>
    <n v="4643.67"/>
    <n v="4829.5200000000004"/>
    <s v="Returning"/>
    <n v="0.17"/>
    <s v="Bank Transfer"/>
    <s v="Online"/>
    <s v="East-Charlie"/>
  </r>
  <r>
    <n v="1066"/>
    <d v="2023-07-21T00:00:00"/>
    <x v="2"/>
    <x v="3"/>
    <n v="3492.19"/>
    <n v="4"/>
    <x v="0"/>
    <n v="868.83"/>
    <n v="1177.75"/>
    <s v="Returning"/>
    <n v="0.21"/>
    <s v="Credit Card"/>
    <s v="Retail"/>
    <s v="East-Charlie"/>
  </r>
  <r>
    <n v="1077"/>
    <d v="2023-08-30T00:00:00"/>
    <x v="4"/>
    <x v="1"/>
    <n v="8660.1200000000008"/>
    <n v="25"/>
    <x v="3"/>
    <n v="61.5"/>
    <n v="258.92"/>
    <s v="New"/>
    <n v="0.17"/>
    <s v="Credit Card"/>
    <s v="Online"/>
    <s v="West-Alice"/>
  </r>
  <r>
    <n v="1043"/>
    <d v="2023-12-19T00:00:00"/>
    <x v="3"/>
    <x v="2"/>
    <n v="1633.76"/>
    <n v="12"/>
    <x v="3"/>
    <n v="4920.46"/>
    <n v="5079.68"/>
    <s v="New"/>
    <n v="0.21"/>
    <s v="Credit Card"/>
    <s v="Retail"/>
    <s v="South-Eve"/>
  </r>
  <r>
    <n v="1075"/>
    <d v="2023-01-02T00:00:00"/>
    <x v="1"/>
    <x v="1"/>
    <n v="919.09"/>
    <n v="26"/>
    <x v="3"/>
    <n v="4535.38"/>
    <n v="4557.5600000000004"/>
    <s v="New"/>
    <n v="0"/>
    <s v="Credit Card"/>
    <s v="Online"/>
    <s v="West-David"/>
  </r>
  <r>
    <n v="1023"/>
    <d v="2023-08-13T00:00:00"/>
    <x v="0"/>
    <x v="3"/>
    <n v="4896.93"/>
    <n v="38"/>
    <x v="2"/>
    <n v="324.45"/>
    <n v="336.37"/>
    <s v="New"/>
    <n v="0.28000000000000003"/>
    <s v="Credit Card"/>
    <s v="Retail"/>
    <s v="East-Bob"/>
  </r>
  <r>
    <n v="1055"/>
    <d v="2023-10-16T00:00:00"/>
    <x v="1"/>
    <x v="3"/>
    <n v="3093.95"/>
    <n v="46"/>
    <x v="2"/>
    <n v="4173.5200000000004"/>
    <n v="4294.8500000000004"/>
    <s v="Returning"/>
    <n v="0.03"/>
    <s v="Bank Transfer"/>
    <s v="Retail"/>
    <s v="East-David"/>
  </r>
  <r>
    <n v="1080"/>
    <d v="2023-08-21T00:00:00"/>
    <x v="1"/>
    <x v="2"/>
    <n v="5677.74"/>
    <n v="12"/>
    <x v="3"/>
    <n v="2316.13"/>
    <n v="2525.27"/>
    <s v="Returning"/>
    <n v="0.12"/>
    <s v="Credit Card"/>
    <s v="Retail"/>
    <s v="South-David"/>
  </r>
  <r>
    <n v="1095"/>
    <d v="2023-03-18T00:00:00"/>
    <x v="3"/>
    <x v="2"/>
    <n v="8057.67"/>
    <n v="43"/>
    <x v="0"/>
    <n v="1331.86"/>
    <n v="1758.98"/>
    <s v="Returning"/>
    <n v="0.23"/>
    <s v="Bank Transfer"/>
    <s v="Retail"/>
    <s v="South-Eve"/>
  </r>
  <r>
    <n v="1075"/>
    <d v="2023-04-26T00:00:00"/>
    <x v="1"/>
    <x v="2"/>
    <n v="1457.77"/>
    <n v="37"/>
    <x v="3"/>
    <n v="4399.8"/>
    <n v="4801.0600000000004"/>
    <s v="New"/>
    <n v="0.13"/>
    <s v="Bank Transfer"/>
    <s v="Retail"/>
    <s v="South-David"/>
  </r>
  <r>
    <n v="1016"/>
    <d v="2023-06-03T00:00:00"/>
    <x v="1"/>
    <x v="1"/>
    <n v="5848.92"/>
    <n v="46"/>
    <x v="2"/>
    <n v="1023.5"/>
    <n v="1164.4100000000001"/>
    <s v="Returning"/>
    <n v="0.28000000000000003"/>
    <s v="Credit Card"/>
    <s v="Retail"/>
    <s v="West-David"/>
  </r>
  <r>
    <n v="1008"/>
    <d v="2023-04-13T00:00:00"/>
    <x v="2"/>
    <x v="2"/>
    <n v="5104.54"/>
    <n v="24"/>
    <x v="0"/>
    <n v="4739.13"/>
    <n v="4868.95"/>
    <s v="New"/>
    <n v="0.14000000000000001"/>
    <s v="Credit Card"/>
    <s v="Retail"/>
    <s v="South-Charlie"/>
  </r>
  <r>
    <n v="1004"/>
    <d v="2023-07-13T00:00:00"/>
    <x v="3"/>
    <x v="3"/>
    <n v="1526.38"/>
    <n v="16"/>
    <x v="2"/>
    <n v="1067.83"/>
    <n v="1189.22"/>
    <s v="Returning"/>
    <n v="0.26"/>
    <s v="Credit Card"/>
    <s v="Retail"/>
    <s v="East-Eve"/>
  </r>
  <r>
    <n v="1004"/>
    <d v="2023-06-15T00:00:00"/>
    <x v="4"/>
    <x v="3"/>
    <n v="6277.59"/>
    <n v="13"/>
    <x v="0"/>
    <n v="3087.73"/>
    <n v="3263.96"/>
    <s v="New"/>
    <n v="0.24"/>
    <s v="Cash"/>
    <s v="Retail"/>
    <s v="East-Alice"/>
  </r>
  <r>
    <n v="1056"/>
    <d v="2023-12-25T00:00:00"/>
    <x v="0"/>
    <x v="0"/>
    <n v="2809.04"/>
    <n v="25"/>
    <x v="2"/>
    <n v="1154.28"/>
    <n v="1408.4"/>
    <s v="Returning"/>
    <n v="0.28999999999999998"/>
    <s v="Bank Transfer"/>
    <s v="Retail"/>
    <s v="North-Bob"/>
  </r>
  <r>
    <n v="1025"/>
    <d v="2023-03-31T00:00:00"/>
    <x v="1"/>
    <x v="1"/>
    <n v="4929.5600000000004"/>
    <n v="4"/>
    <x v="0"/>
    <n v="2751.06"/>
    <n v="2976.01"/>
    <s v="Returning"/>
    <n v="0.28000000000000003"/>
    <s v="Credit Card"/>
    <s v="Online"/>
    <s v="West-David"/>
  </r>
  <r>
    <n v="1067"/>
    <d v="2023-06-23T00:00:00"/>
    <x v="0"/>
    <x v="0"/>
    <n v="914.5"/>
    <n v="11"/>
    <x v="0"/>
    <n v="3435.68"/>
    <n v="3552.63"/>
    <s v="New"/>
    <n v="0.27"/>
    <s v="Cash"/>
    <s v="Retail"/>
    <s v="North-Bob"/>
  </r>
  <r>
    <n v="1096"/>
    <d v="2023-05-02T00:00:00"/>
    <x v="4"/>
    <x v="3"/>
    <n v="4649.88"/>
    <n v="32"/>
    <x v="0"/>
    <n v="991.63"/>
    <n v="1065.55"/>
    <s v="Returning"/>
    <n v="0.22"/>
    <s v="Bank Transfer"/>
    <s v="Retail"/>
    <s v="East-Alice"/>
  </r>
  <r>
    <n v="1067"/>
    <d v="2023-05-23T00:00:00"/>
    <x v="0"/>
    <x v="0"/>
    <n v="3133.99"/>
    <n v="49"/>
    <x v="0"/>
    <n v="2628.38"/>
    <n v="2644.54"/>
    <s v="Returning"/>
    <n v="0.11"/>
    <s v="Cash"/>
    <s v="Online"/>
    <s v="North-Bob"/>
  </r>
  <r>
    <n v="1027"/>
    <d v="2023-04-16T00:00:00"/>
    <x v="4"/>
    <x v="3"/>
    <n v="8241.57"/>
    <n v="7"/>
    <x v="1"/>
    <n v="2371.85"/>
    <n v="2457.29"/>
    <s v="New"/>
    <n v="0.03"/>
    <s v="Cash"/>
    <s v="Retail"/>
    <s v="East-Alice"/>
  </r>
  <r>
    <n v="1093"/>
    <d v="2023-11-01T00:00:00"/>
    <x v="2"/>
    <x v="0"/>
    <n v="664.09"/>
    <n v="46"/>
    <x v="2"/>
    <n v="401.64"/>
    <n v="757.26"/>
    <s v="New"/>
    <n v="0.21"/>
    <s v="Credit Card"/>
    <s v="Retail"/>
    <s v="North-Charlie"/>
  </r>
  <r>
    <n v="1032"/>
    <d v="2023-12-26T00:00:00"/>
    <x v="1"/>
    <x v="2"/>
    <n v="4244.21"/>
    <n v="11"/>
    <x v="2"/>
    <n v="4100.62"/>
    <n v="4230"/>
    <s v="New"/>
    <n v="0.28999999999999998"/>
    <s v="Bank Transfer"/>
    <s v="Online"/>
    <s v="South-David"/>
  </r>
  <r>
    <n v="1050"/>
    <d v="2023-11-13T00:00:00"/>
    <x v="4"/>
    <x v="0"/>
    <n v="4638.47"/>
    <n v="28"/>
    <x v="1"/>
    <n v="1711.63"/>
    <n v="1951.24"/>
    <s v="New"/>
    <n v="0.22"/>
    <s v="Cash"/>
    <s v="Online"/>
    <s v="North-Alice"/>
  </r>
  <r>
    <n v="1061"/>
    <d v="2023-05-03T00:00:00"/>
    <x v="0"/>
    <x v="2"/>
    <n v="7277.56"/>
    <n v="41"/>
    <x v="0"/>
    <n v="2894.18"/>
    <n v="3193.92"/>
    <s v="New"/>
    <n v="0.28000000000000003"/>
    <s v="Bank Transfer"/>
    <s v="Retail"/>
    <s v="South-Bob"/>
  </r>
  <r>
    <n v="1051"/>
    <d v="2023-01-09T00:00:00"/>
    <x v="1"/>
    <x v="2"/>
    <n v="5785.45"/>
    <n v="23"/>
    <x v="0"/>
    <n v="2598.1799999999998"/>
    <n v="3042.73"/>
    <s v="Returning"/>
    <n v="0.24"/>
    <s v="Credit Card"/>
    <s v="Online"/>
    <s v="South-David"/>
  </r>
  <r>
    <n v="1019"/>
    <d v="2023-09-19T00:00:00"/>
    <x v="2"/>
    <x v="1"/>
    <n v="6705.4"/>
    <n v="45"/>
    <x v="2"/>
    <n v="2590.64"/>
    <n v="3036.18"/>
    <s v="New"/>
    <n v="0.05"/>
    <s v="Bank Transfer"/>
    <s v="Retail"/>
    <s v="West-Charlie"/>
  </r>
  <r>
    <n v="1021"/>
    <d v="2023-03-14T00:00:00"/>
    <x v="1"/>
    <x v="2"/>
    <n v="7792.79"/>
    <n v="23"/>
    <x v="1"/>
    <n v="580.75"/>
    <n v="956.16"/>
    <s v="Returning"/>
    <n v="7.0000000000000007E-2"/>
    <s v="Cash"/>
    <s v="Retail"/>
    <s v="South-David"/>
  </r>
  <r>
    <n v="1005"/>
    <d v="2023-12-25T00:00:00"/>
    <x v="4"/>
    <x v="2"/>
    <n v="8635.81"/>
    <n v="28"/>
    <x v="0"/>
    <n v="2146.2399999999998"/>
    <n v="2173.4699999999998"/>
    <s v="Returning"/>
    <n v="0.1"/>
    <s v="Cash"/>
    <s v="Retail"/>
    <s v="South-Alice"/>
  </r>
  <r>
    <n v="1082"/>
    <d v="2023-08-11T00:00:00"/>
    <x v="2"/>
    <x v="0"/>
    <n v="3207.37"/>
    <n v="43"/>
    <x v="0"/>
    <n v="2289.2199999999998"/>
    <n v="2581"/>
    <s v="New"/>
    <n v="0.05"/>
    <s v="Bank Transfer"/>
    <s v="Online"/>
    <s v="North-Charlie"/>
  </r>
  <r>
    <n v="1092"/>
    <d v="2023-02-10T00:00:00"/>
    <x v="0"/>
    <x v="3"/>
    <n v="5426.42"/>
    <n v="47"/>
    <x v="0"/>
    <n v="3681.53"/>
    <n v="4076.96"/>
    <s v="Returning"/>
    <n v="0.17"/>
    <s v="Cash"/>
    <s v="Retail"/>
    <s v="East-Bob"/>
  </r>
  <r>
    <n v="1042"/>
    <d v="2023-07-23T00:00:00"/>
    <x v="2"/>
    <x v="1"/>
    <n v="8417.07"/>
    <n v="26"/>
    <x v="3"/>
    <n v="4208.09"/>
    <n v="4226.5600000000004"/>
    <s v="Returning"/>
    <n v="0.28999999999999998"/>
    <s v="Cash"/>
    <s v="Retail"/>
    <s v="West-Charlie"/>
  </r>
  <r>
    <n v="1061"/>
    <d v="2023-09-21T00:00:00"/>
    <x v="2"/>
    <x v="2"/>
    <n v="9895.57"/>
    <n v="25"/>
    <x v="1"/>
    <n v="2747.66"/>
    <n v="3027.01"/>
    <s v="New"/>
    <n v="0.23"/>
    <s v="Cash"/>
    <s v="Online"/>
    <s v="South-Charlie"/>
  </r>
  <r>
    <n v="1022"/>
    <d v="2023-11-24T00:00:00"/>
    <x v="3"/>
    <x v="1"/>
    <n v="8906.24"/>
    <n v="29"/>
    <x v="0"/>
    <n v="479.58"/>
    <n v="909.88"/>
    <s v="Returning"/>
    <n v="0.13"/>
    <s v="Credit Card"/>
    <s v="Retail"/>
    <s v="West-Eve"/>
  </r>
  <r>
    <n v="1021"/>
    <d v="2023-06-27T00:00:00"/>
    <x v="2"/>
    <x v="0"/>
    <n v="3777.53"/>
    <n v="19"/>
    <x v="3"/>
    <n v="1222.4000000000001"/>
    <n v="1464.71"/>
    <s v="New"/>
    <n v="0"/>
    <s v="Credit Card"/>
    <s v="Retail"/>
    <s v="North-Charlie"/>
  </r>
  <r>
    <n v="1070"/>
    <d v="2023-12-14T00:00:00"/>
    <x v="2"/>
    <x v="2"/>
    <n v="2032.15"/>
    <n v="33"/>
    <x v="1"/>
    <n v="866.42"/>
    <n v="878.43"/>
    <s v="New"/>
    <n v="0.09"/>
    <s v="Cash"/>
    <s v="Retail"/>
    <s v="South-Charlie"/>
  </r>
  <r>
    <n v="1001"/>
    <d v="2023-11-14T00:00:00"/>
    <x v="1"/>
    <x v="0"/>
    <n v="4944.99"/>
    <n v="36"/>
    <x v="0"/>
    <n v="666.84"/>
    <n v="682.24"/>
    <s v="New"/>
    <n v="0.16"/>
    <s v="Bank Transfer"/>
    <s v="Retail"/>
    <s v="North-David"/>
  </r>
  <r>
    <n v="1005"/>
    <d v="2023-03-25T00:00:00"/>
    <x v="0"/>
    <x v="1"/>
    <n v="7442.25"/>
    <n v="14"/>
    <x v="2"/>
    <n v="1861.2"/>
    <n v="2075.35"/>
    <s v="Returning"/>
    <n v="0.1"/>
    <s v="Credit Card"/>
    <s v="Retail"/>
    <s v="West-Bob"/>
  </r>
  <r>
    <n v="1012"/>
    <d v="2023-11-14T00:00:00"/>
    <x v="1"/>
    <x v="0"/>
    <n v="4976.43"/>
    <n v="14"/>
    <x v="3"/>
    <n v="1185.5"/>
    <n v="1271.45"/>
    <s v="Returning"/>
    <n v="0.03"/>
    <s v="Bank Transfer"/>
    <s v="Retail"/>
    <s v="North-David"/>
  </r>
  <r>
    <n v="1090"/>
    <d v="2023-04-21T00:00:00"/>
    <x v="1"/>
    <x v="1"/>
    <n v="4883.49"/>
    <n v="35"/>
    <x v="3"/>
    <n v="1130.5999999999999"/>
    <n v="1466.18"/>
    <s v="Returning"/>
    <n v="0.13"/>
    <s v="Cash"/>
    <s v="Online"/>
    <s v="West-David"/>
  </r>
  <r>
    <n v="1046"/>
    <d v="2023-09-08T00:00:00"/>
    <x v="4"/>
    <x v="0"/>
    <n v="8398.48"/>
    <n v="30"/>
    <x v="0"/>
    <n v="320.73"/>
    <n v="678.04"/>
    <s v="Returning"/>
    <n v="0.08"/>
    <s v="Cash"/>
    <s v="Retail"/>
    <s v="North-Alice"/>
  </r>
  <r>
    <n v="1034"/>
    <d v="2023-01-07T00:00:00"/>
    <x v="1"/>
    <x v="1"/>
    <n v="3677.9"/>
    <n v="28"/>
    <x v="0"/>
    <n v="137.47"/>
    <n v="234.63"/>
    <s v="New"/>
    <n v="0.27"/>
    <s v="Bank Transfer"/>
    <s v="Retail"/>
    <s v="West-David"/>
  </r>
  <r>
    <n v="1049"/>
    <d v="2023-03-25T00:00:00"/>
    <x v="3"/>
    <x v="3"/>
    <n v="8611.9699999999993"/>
    <n v="17"/>
    <x v="3"/>
    <n v="558.70000000000005"/>
    <n v="1004.08"/>
    <s v="Returning"/>
    <n v="0.03"/>
    <s v="Credit Card"/>
    <s v="Online"/>
    <s v="East-Eve"/>
  </r>
  <r>
    <n v="1078"/>
    <d v="2023-07-27T00:00:00"/>
    <x v="3"/>
    <x v="0"/>
    <n v="4127.37"/>
    <n v="3"/>
    <x v="2"/>
    <n v="902.38"/>
    <n v="1128.9100000000001"/>
    <s v="New"/>
    <n v="0.01"/>
    <s v="Bank Transfer"/>
    <s v="Retail"/>
    <s v="North-Eve"/>
  </r>
  <r>
    <n v="1090"/>
    <d v="2023-11-10T00:00:00"/>
    <x v="4"/>
    <x v="0"/>
    <n v="3349.51"/>
    <n v="16"/>
    <x v="2"/>
    <n v="2183.37"/>
    <n v="2263.36"/>
    <s v="Returning"/>
    <n v="0"/>
    <s v="Bank Transfer"/>
    <s v="Retail"/>
    <s v="North-Alice"/>
  </r>
  <r>
    <n v="1045"/>
    <d v="2023-01-22T00:00:00"/>
    <x v="0"/>
    <x v="3"/>
    <n v="4594.5"/>
    <n v="46"/>
    <x v="1"/>
    <n v="2577.08"/>
    <n v="2961.56"/>
    <s v="Returning"/>
    <n v="0.1"/>
    <s v="Cash"/>
    <s v="Online"/>
    <s v="East-Bob"/>
  </r>
  <r>
    <n v="1027"/>
    <d v="2023-01-03T00:00:00"/>
    <x v="0"/>
    <x v="3"/>
    <n v="7648.22"/>
    <n v="30"/>
    <x v="0"/>
    <n v="745.93"/>
    <n v="1143.02"/>
    <s v="Returning"/>
    <n v="0.2"/>
    <s v="Credit Card"/>
    <s v="Online"/>
    <s v="East-Bob"/>
  </r>
  <r>
    <n v="1073"/>
    <d v="2023-05-07T00:00:00"/>
    <x v="1"/>
    <x v="0"/>
    <n v="1347.42"/>
    <n v="29"/>
    <x v="2"/>
    <n v="2152.6799999999998"/>
    <n v="2475.9299999999998"/>
    <s v="Returning"/>
    <n v="0.22"/>
    <s v="Bank Transfer"/>
    <s v="Online"/>
    <s v="North-David"/>
  </r>
  <r>
    <n v="1026"/>
    <d v="2023-10-24T00:00:00"/>
    <x v="1"/>
    <x v="3"/>
    <n v="2044.55"/>
    <n v="45"/>
    <x v="1"/>
    <n v="1741.66"/>
    <n v="2169.86"/>
    <s v="Returning"/>
    <n v="0.14000000000000001"/>
    <s v="Credit Card"/>
    <s v="Online"/>
    <s v="East-David"/>
  </r>
  <r>
    <n v="1047"/>
    <d v="2023-07-07T00:00:00"/>
    <x v="1"/>
    <x v="2"/>
    <n v="9519.2999999999993"/>
    <n v="15"/>
    <x v="2"/>
    <n v="957.95"/>
    <n v="1329.26"/>
    <s v="New"/>
    <n v="0.21"/>
    <s v="Cash"/>
    <s v="Online"/>
    <s v="South-David"/>
  </r>
  <r>
    <n v="1086"/>
    <d v="2023-12-28T00:00:00"/>
    <x v="0"/>
    <x v="1"/>
    <n v="1837.37"/>
    <n v="46"/>
    <x v="0"/>
    <n v="83.86"/>
    <n v="526.14"/>
    <s v="Returning"/>
    <n v="0.11"/>
    <s v="Credit Card"/>
    <s v="Online"/>
    <s v="West-Bob"/>
  </r>
  <r>
    <n v="1056"/>
    <d v="2023-01-14T00:00:00"/>
    <x v="2"/>
    <x v="1"/>
    <n v="5720.5"/>
    <n v="25"/>
    <x v="1"/>
    <n v="2361.7399999999998"/>
    <n v="2584.35"/>
    <s v="Returning"/>
    <n v="0.2"/>
    <s v="Cash"/>
    <s v="Online"/>
    <s v="West-Charlie"/>
  </r>
  <r>
    <n v="1094"/>
    <d v="2023-01-12T00:00:00"/>
    <x v="3"/>
    <x v="1"/>
    <n v="5835.21"/>
    <n v="38"/>
    <x v="1"/>
    <n v="3443.98"/>
    <n v="3820.3"/>
    <s v="Returning"/>
    <n v="0.01"/>
    <s v="Credit Card"/>
    <s v="Retail"/>
    <s v="West-Eve"/>
  </r>
  <r>
    <n v="1063"/>
    <d v="2023-03-28T00:00:00"/>
    <x v="2"/>
    <x v="2"/>
    <n v="4947.28"/>
    <n v="42"/>
    <x v="1"/>
    <n v="1170.07"/>
    <n v="1669.95"/>
    <s v="Returning"/>
    <n v="0.12"/>
    <s v="Bank Transfer"/>
    <s v="Retail"/>
    <s v="South-Charlie"/>
  </r>
  <r>
    <n v="1048"/>
    <d v="2023-01-12T00:00:00"/>
    <x v="2"/>
    <x v="3"/>
    <n v="6482.98"/>
    <n v="47"/>
    <x v="2"/>
    <n v="702.44"/>
    <n v="1067.6600000000001"/>
    <s v="New"/>
    <n v="0.24"/>
    <s v="Cash"/>
    <s v="Retail"/>
    <s v="East-Charlie"/>
  </r>
  <r>
    <n v="1061"/>
    <d v="2023-01-25T00:00:00"/>
    <x v="0"/>
    <x v="3"/>
    <n v="2375.2800000000002"/>
    <n v="38"/>
    <x v="0"/>
    <n v="4440.8599999999997"/>
    <n v="4506.8100000000004"/>
    <s v="Returning"/>
    <n v="0.24"/>
    <s v="Bank Transfer"/>
    <s v="Online"/>
    <s v="East-Bob"/>
  </r>
  <r>
    <n v="1081"/>
    <d v="2023-10-28T00:00:00"/>
    <x v="2"/>
    <x v="0"/>
    <n v="5571.36"/>
    <n v="23"/>
    <x v="1"/>
    <n v="1411.37"/>
    <n v="1675.35"/>
    <s v="New"/>
    <n v="0.21"/>
    <s v="Cash"/>
    <s v="Retail"/>
    <s v="North-Charlie"/>
  </r>
  <r>
    <n v="1026"/>
    <d v="2023-08-31T00:00:00"/>
    <x v="4"/>
    <x v="3"/>
    <n v="3784.52"/>
    <n v="25"/>
    <x v="3"/>
    <n v="1156.8800000000001"/>
    <n v="1454.68"/>
    <s v="Returning"/>
    <n v="0.06"/>
    <s v="Credit Card"/>
    <s v="Online"/>
    <s v="East-Alice"/>
  </r>
  <r>
    <n v="1036"/>
    <d v="2023-05-02T00:00:00"/>
    <x v="1"/>
    <x v="0"/>
    <n v="6650.51"/>
    <n v="42"/>
    <x v="0"/>
    <n v="4292.63"/>
    <n v="4387.99"/>
    <s v="New"/>
    <n v="7.0000000000000007E-2"/>
    <s v="Credit Card"/>
    <s v="Retail"/>
    <s v="North-David"/>
  </r>
  <r>
    <n v="1001"/>
    <d v="2023-05-27T00:00:00"/>
    <x v="4"/>
    <x v="2"/>
    <n v="1498.11"/>
    <n v="7"/>
    <x v="3"/>
    <n v="4094.68"/>
    <n v="4576.5"/>
    <s v="New"/>
    <n v="0.3"/>
    <s v="Cash"/>
    <s v="Retail"/>
    <s v="South-Alice"/>
  </r>
  <r>
    <n v="1008"/>
    <d v="2023-02-24T00:00:00"/>
    <x v="3"/>
    <x v="1"/>
    <n v="5751.69"/>
    <n v="22"/>
    <x v="3"/>
    <n v="2269.3200000000002"/>
    <n v="2365.35"/>
    <s v="New"/>
    <n v="0.03"/>
    <s v="Cash"/>
    <s v="Retail"/>
    <s v="West-Eve"/>
  </r>
  <r>
    <n v="1099"/>
    <d v="2023-08-26T00:00:00"/>
    <x v="1"/>
    <x v="1"/>
    <n v="1934.18"/>
    <n v="17"/>
    <x v="1"/>
    <n v="2471.73"/>
    <n v="2568.73"/>
    <s v="New"/>
    <n v="0.05"/>
    <s v="Cash"/>
    <s v="Retail"/>
    <s v="West-David"/>
  </r>
  <r>
    <n v="1052"/>
    <d v="2023-12-22T00:00:00"/>
    <x v="2"/>
    <x v="1"/>
    <n v="2858.57"/>
    <n v="18"/>
    <x v="1"/>
    <n v="1127.8599999999999"/>
    <n v="1586.29"/>
    <s v="New"/>
    <n v="0.04"/>
    <s v="Credit Card"/>
    <s v="Online"/>
    <s v="West-Charlie"/>
  </r>
  <r>
    <n v="1079"/>
    <d v="2023-06-22T00:00:00"/>
    <x v="3"/>
    <x v="3"/>
    <n v="2265.23"/>
    <n v="49"/>
    <x v="2"/>
    <n v="437.59"/>
    <n v="675.54"/>
    <s v="Returning"/>
    <n v="0.1"/>
    <s v="Cash"/>
    <s v="Online"/>
    <s v="East-Eve"/>
  </r>
  <r>
    <n v="1047"/>
    <d v="2023-08-09T00:00:00"/>
    <x v="1"/>
    <x v="0"/>
    <n v="1910.09"/>
    <n v="41"/>
    <x v="2"/>
    <n v="2888.49"/>
    <n v="2929.45"/>
    <s v="New"/>
    <n v="0.06"/>
    <s v="Cash"/>
    <s v="Retail"/>
    <s v="North-David"/>
  </r>
  <r>
    <n v="1056"/>
    <d v="2023-04-29T00:00:00"/>
    <x v="2"/>
    <x v="0"/>
    <n v="8274.5400000000009"/>
    <n v="10"/>
    <x v="2"/>
    <n v="536.80999999999995"/>
    <n v="839.92"/>
    <s v="Returning"/>
    <n v="0.15"/>
    <s v="Bank Transfer"/>
    <s v="Online"/>
    <s v="North-Charlie"/>
  </r>
  <r>
    <n v="1086"/>
    <d v="2023-11-05T00:00:00"/>
    <x v="4"/>
    <x v="2"/>
    <n v="2928.5"/>
    <n v="10"/>
    <x v="0"/>
    <n v="2273.91"/>
    <n v="2578.8000000000002"/>
    <s v="New"/>
    <n v="0.14000000000000001"/>
    <s v="Cash"/>
    <s v="Online"/>
    <s v="South-Alice"/>
  </r>
  <r>
    <n v="1014"/>
    <d v="2023-07-02T00:00:00"/>
    <x v="1"/>
    <x v="3"/>
    <n v="9278.5300000000007"/>
    <n v="7"/>
    <x v="2"/>
    <n v="4705.46"/>
    <n v="4747.07"/>
    <s v="New"/>
    <n v="0.27"/>
    <s v="Bank Transfer"/>
    <s v="Retail"/>
    <s v="East-David"/>
  </r>
  <r>
    <n v="1090"/>
    <d v="2023-10-15T00:00:00"/>
    <x v="2"/>
    <x v="2"/>
    <n v="9702.27"/>
    <n v="48"/>
    <x v="3"/>
    <n v="4766.53"/>
    <n v="5253.07"/>
    <s v="Returning"/>
    <n v="0.01"/>
    <s v="Bank Transfer"/>
    <s v="Online"/>
    <s v="South-Charlie"/>
  </r>
  <r>
    <n v="1028"/>
    <d v="2023-11-03T00:00:00"/>
    <x v="4"/>
    <x v="0"/>
    <n v="5755.48"/>
    <n v="38"/>
    <x v="2"/>
    <n v="1234.69"/>
    <n v="1511.26"/>
    <s v="New"/>
    <n v="0.1"/>
    <s v="Bank Transfer"/>
    <s v="Online"/>
    <s v="North-Alice"/>
  </r>
  <r>
    <n v="1087"/>
    <d v="2023-10-27T00:00:00"/>
    <x v="3"/>
    <x v="0"/>
    <n v="1515.71"/>
    <n v="27"/>
    <x v="1"/>
    <n v="3139.36"/>
    <n v="3423.66"/>
    <s v="New"/>
    <n v="0.18"/>
    <s v="Credit Card"/>
    <s v="Online"/>
    <s v="North-Eve"/>
  </r>
  <r>
    <n v="1078"/>
    <d v="2023-03-23T00:00:00"/>
    <x v="3"/>
    <x v="1"/>
    <n v="3808.03"/>
    <n v="33"/>
    <x v="2"/>
    <n v="2396.6799999999998"/>
    <n v="2661.54"/>
    <s v="New"/>
    <n v="0.18"/>
    <s v="Bank Transfer"/>
    <s v="Online"/>
    <s v="West-Eve"/>
  </r>
  <r>
    <n v="1088"/>
    <d v="2023-07-30T00:00:00"/>
    <x v="3"/>
    <x v="3"/>
    <n v="7997.55"/>
    <n v="1"/>
    <x v="0"/>
    <n v="4384.6400000000003"/>
    <n v="4693.8999999999996"/>
    <s v="New"/>
    <n v="0.14000000000000001"/>
    <s v="Cash"/>
    <s v="Retail"/>
    <s v="East-Eve"/>
  </r>
  <r>
    <n v="1002"/>
    <d v="2023-05-30T00:00:00"/>
    <x v="3"/>
    <x v="0"/>
    <n v="3737.17"/>
    <n v="44"/>
    <x v="0"/>
    <n v="1393.58"/>
    <n v="1533.09"/>
    <s v="Returning"/>
    <n v="0.24"/>
    <s v="Credit Card"/>
    <s v="Retail"/>
    <s v="North-Eve"/>
  </r>
  <r>
    <n v="1026"/>
    <d v="2023-02-06T00:00:00"/>
    <x v="0"/>
    <x v="1"/>
    <n v="961.47"/>
    <n v="34"/>
    <x v="3"/>
    <n v="68.33"/>
    <n v="219.08"/>
    <s v="New"/>
    <n v="0.02"/>
    <s v="Credit Card"/>
    <s v="Online"/>
    <s v="West-Bob"/>
  </r>
  <r>
    <n v="1014"/>
    <d v="2023-12-18T00:00:00"/>
    <x v="1"/>
    <x v="3"/>
    <n v="5612.17"/>
    <n v="4"/>
    <x v="0"/>
    <n v="854.68"/>
    <n v="1115.24"/>
    <s v="New"/>
    <n v="0.24"/>
    <s v="Credit Card"/>
    <s v="Retail"/>
    <s v="East-David"/>
  </r>
  <r>
    <n v="1059"/>
    <d v="2023-11-08T00:00:00"/>
    <x v="1"/>
    <x v="2"/>
    <n v="8466.7000000000007"/>
    <n v="17"/>
    <x v="2"/>
    <n v="1780.14"/>
    <n v="2185.42"/>
    <s v="Returning"/>
    <n v="0.15"/>
    <s v="Credit Card"/>
    <s v="Retail"/>
    <s v="South-David"/>
  </r>
  <r>
    <n v="1056"/>
    <d v="2023-12-27T00:00:00"/>
    <x v="0"/>
    <x v="3"/>
    <n v="7979.67"/>
    <n v="4"/>
    <x v="1"/>
    <n v="1612.82"/>
    <n v="1647.25"/>
    <s v="Returning"/>
    <n v="0.04"/>
    <s v="Credit Card"/>
    <s v="Retail"/>
    <s v="East-Bob"/>
  </r>
  <r>
    <n v="1007"/>
    <d v="2023-02-28T00:00:00"/>
    <x v="2"/>
    <x v="3"/>
    <n v="1833.72"/>
    <n v="43"/>
    <x v="0"/>
    <n v="3967.25"/>
    <n v="4272.92"/>
    <s v="New"/>
    <n v="0.27"/>
    <s v="Credit Card"/>
    <s v="Online"/>
    <s v="East-Charlie"/>
  </r>
  <r>
    <n v="1003"/>
    <d v="2023-05-11T00:00:00"/>
    <x v="2"/>
    <x v="0"/>
    <n v="6760.37"/>
    <n v="26"/>
    <x v="3"/>
    <n v="3418.78"/>
    <n v="3824.1"/>
    <s v="New"/>
    <n v="0.19"/>
    <s v="Credit Card"/>
    <s v="Online"/>
    <s v="North-Charlie"/>
  </r>
  <r>
    <n v="1023"/>
    <d v="2023-07-21T00:00:00"/>
    <x v="3"/>
    <x v="0"/>
    <n v="2282.9899999999998"/>
    <n v="4"/>
    <x v="2"/>
    <n v="1532.8"/>
    <n v="1619.69"/>
    <s v="Returning"/>
    <n v="0.05"/>
    <s v="Bank Transfer"/>
    <s v="Retail"/>
    <s v="North-Eve"/>
  </r>
  <r>
    <n v="1018"/>
    <d v="2023-08-31T00:00:00"/>
    <x v="4"/>
    <x v="3"/>
    <n v="2260.25"/>
    <n v="1"/>
    <x v="3"/>
    <n v="2315.83"/>
    <n v="2333.19"/>
    <s v="New"/>
    <n v="0.01"/>
    <s v="Cash"/>
    <s v="Retail"/>
    <s v="East-Alice"/>
  </r>
  <r>
    <n v="1038"/>
    <d v="2023-02-04T00:00:00"/>
    <x v="2"/>
    <x v="0"/>
    <n v="8753.31"/>
    <n v="7"/>
    <x v="0"/>
    <n v="523.02"/>
    <n v="686.25"/>
    <s v="Returning"/>
    <n v="0.04"/>
    <s v="Cash"/>
    <s v="Online"/>
    <s v="North-Charlie"/>
  </r>
  <r>
    <n v="1099"/>
    <d v="2023-04-03T00:00:00"/>
    <x v="4"/>
    <x v="0"/>
    <n v="2571.7199999999998"/>
    <n v="30"/>
    <x v="0"/>
    <n v="4495.82"/>
    <n v="4794.01"/>
    <s v="New"/>
    <n v="0.18"/>
    <s v="Bank Transfer"/>
    <s v="Retail"/>
    <s v="North-Alice"/>
  </r>
  <r>
    <n v="1015"/>
    <d v="2023-07-26T00:00:00"/>
    <x v="1"/>
    <x v="0"/>
    <n v="2706.15"/>
    <n v="9"/>
    <x v="3"/>
    <n v="4680.3500000000004"/>
    <n v="4758.1099999999997"/>
    <s v="Returning"/>
    <n v="0.05"/>
    <s v="Bank Transfer"/>
    <s v="Online"/>
    <s v="North-David"/>
  </r>
  <r>
    <n v="1064"/>
    <d v="2023-12-19T00:00:00"/>
    <x v="4"/>
    <x v="1"/>
    <n v="106.47"/>
    <n v="35"/>
    <x v="2"/>
    <n v="4900.03"/>
    <n v="5118.83"/>
    <s v="Returning"/>
    <n v="7.0000000000000007E-2"/>
    <s v="Credit Card"/>
    <s v="Retail"/>
    <s v="West-Alice"/>
  </r>
  <r>
    <n v="1089"/>
    <d v="2023-11-28T00:00:00"/>
    <x v="1"/>
    <x v="1"/>
    <n v="8719.6200000000008"/>
    <n v="8"/>
    <x v="0"/>
    <n v="4349.34"/>
    <n v="4629.9799999999996"/>
    <s v="Returning"/>
    <n v="0.01"/>
    <s v="Credit Card"/>
    <s v="Online"/>
    <s v="West-David"/>
  </r>
  <r>
    <n v="1028"/>
    <d v="2023-11-01T00:00:00"/>
    <x v="0"/>
    <x v="3"/>
    <n v="7946.69"/>
    <n v="24"/>
    <x v="1"/>
    <n v="911.11"/>
    <n v="1214.56"/>
    <s v="New"/>
    <n v="0.22"/>
    <s v="Bank Transfer"/>
    <s v="Online"/>
    <s v="East-Bob"/>
  </r>
  <r>
    <n v="1074"/>
    <d v="2023-12-16T00:00:00"/>
    <x v="0"/>
    <x v="0"/>
    <n v="6310.56"/>
    <n v="19"/>
    <x v="0"/>
    <n v="278.67"/>
    <n v="423.13"/>
    <s v="New"/>
    <n v="0.24"/>
    <s v="Credit Card"/>
    <s v="Online"/>
    <s v="North-Bob"/>
  </r>
  <r>
    <n v="1039"/>
    <d v="2023-08-01T00:00:00"/>
    <x v="3"/>
    <x v="1"/>
    <n v="7527.63"/>
    <n v="36"/>
    <x v="2"/>
    <n v="2919"/>
    <n v="3125.01"/>
    <s v="New"/>
    <n v="0.24"/>
    <s v="Cash"/>
    <s v="Online"/>
    <s v="West-Eve"/>
  </r>
  <r>
    <n v="1057"/>
    <d v="2023-06-08T00:00:00"/>
    <x v="2"/>
    <x v="3"/>
    <n v="1605.28"/>
    <n v="43"/>
    <x v="0"/>
    <n v="4567.3900000000003"/>
    <n v="4958.78"/>
    <s v="New"/>
    <n v="0.04"/>
    <s v="Cash"/>
    <s v="Retail"/>
    <s v="East-Charlie"/>
  </r>
  <r>
    <n v="1017"/>
    <d v="2023-01-24T00:00:00"/>
    <x v="3"/>
    <x v="0"/>
    <n v="4637.3999999999996"/>
    <n v="27"/>
    <x v="3"/>
    <n v="927.89"/>
    <n v="1399.09"/>
    <s v="Returning"/>
    <n v="0.27"/>
    <s v="Credit Card"/>
    <s v="Online"/>
    <s v="North-Eve"/>
  </r>
  <r>
    <n v="1086"/>
    <d v="2023-10-20T00:00:00"/>
    <x v="1"/>
    <x v="2"/>
    <n v="3577.07"/>
    <n v="32"/>
    <x v="0"/>
    <n v="84.86"/>
    <n v="517.17999999999995"/>
    <s v="Returning"/>
    <n v="0.2"/>
    <s v="Credit Card"/>
    <s v="Retail"/>
    <s v="South-David"/>
  </r>
  <r>
    <n v="1090"/>
    <d v="2023-01-04T00:00:00"/>
    <x v="3"/>
    <x v="0"/>
    <n v="1028.3900000000001"/>
    <n v="14"/>
    <x v="0"/>
    <n v="4037.21"/>
    <n v="4323.71"/>
    <s v="Returning"/>
    <n v="0.27"/>
    <s v="Credit Card"/>
    <s v="Online"/>
    <s v="North-Eve"/>
  </r>
  <r>
    <n v="1044"/>
    <d v="2023-08-08T00:00:00"/>
    <x v="4"/>
    <x v="0"/>
    <n v="4912.6899999999996"/>
    <n v="18"/>
    <x v="2"/>
    <n v="430.14"/>
    <n v="641.17999999999995"/>
    <s v="New"/>
    <n v="0.13"/>
    <s v="Cash"/>
    <s v="Online"/>
    <s v="North-Alice"/>
  </r>
  <r>
    <n v="1025"/>
    <d v="2023-12-30T00:00:00"/>
    <x v="1"/>
    <x v="1"/>
    <n v="9215.32"/>
    <n v="28"/>
    <x v="3"/>
    <n v="2097.84"/>
    <n v="2270.9899999999998"/>
    <s v="New"/>
    <n v="0.13"/>
    <s v="Credit Card"/>
    <s v="Retail"/>
    <s v="West-David"/>
  </r>
  <r>
    <n v="1017"/>
    <d v="2023-01-20T00:00:00"/>
    <x v="0"/>
    <x v="3"/>
    <n v="496.59"/>
    <n v="29"/>
    <x v="2"/>
    <n v="3410.49"/>
    <n v="3481.72"/>
    <s v="New"/>
    <n v="0.24"/>
    <s v="Bank Transfer"/>
    <s v="Retail"/>
    <s v="East-Bob"/>
  </r>
  <r>
    <n v="1013"/>
    <d v="2023-06-01T00:00:00"/>
    <x v="2"/>
    <x v="3"/>
    <n v="2985.46"/>
    <n v="16"/>
    <x v="0"/>
    <n v="1222.1500000000001"/>
    <n v="1284.3599999999999"/>
    <s v="Returning"/>
    <n v="0.03"/>
    <s v="Credit Card"/>
    <s v="Retail"/>
    <s v="East-Charlie"/>
  </r>
  <r>
    <n v="1084"/>
    <d v="2023-02-19T00:00:00"/>
    <x v="1"/>
    <x v="1"/>
    <n v="2154.66"/>
    <n v="35"/>
    <x v="1"/>
    <n v="465.61"/>
    <n v="812.91"/>
    <s v="New"/>
    <n v="0.16"/>
    <s v="Bank Transfer"/>
    <s v="Online"/>
    <s v="West-David"/>
  </r>
  <r>
    <n v="1025"/>
    <d v="2023-06-26T00:00:00"/>
    <x v="1"/>
    <x v="0"/>
    <n v="2457.65"/>
    <n v="47"/>
    <x v="0"/>
    <n v="3861.61"/>
    <n v="3998.91"/>
    <s v="New"/>
    <n v="0.25"/>
    <s v="Credit Card"/>
    <s v="Online"/>
    <s v="North-David"/>
  </r>
  <r>
    <n v="1068"/>
    <d v="2023-04-06T00:00:00"/>
    <x v="4"/>
    <x v="2"/>
    <n v="9093.5"/>
    <n v="31"/>
    <x v="2"/>
    <n v="3169.37"/>
    <n v="3304.15"/>
    <s v="Returning"/>
    <n v="0.25"/>
    <s v="Credit Card"/>
    <s v="Retail"/>
    <s v="South-Alice"/>
  </r>
  <r>
    <n v="1010"/>
    <d v="2023-04-15T00:00:00"/>
    <x v="2"/>
    <x v="0"/>
    <n v="4733.88"/>
    <n v="4"/>
    <x v="1"/>
    <n v="4943.03"/>
    <n v="5442.15"/>
    <s v="Returning"/>
    <n v="0.28999999999999998"/>
    <s v="Cash"/>
    <s v="Online"/>
    <s v="North-Charlie"/>
  </r>
  <r>
    <n v="1067"/>
    <d v="2023-09-07T00:00:00"/>
    <x v="0"/>
    <x v="0"/>
    <n v="4716.3599999999997"/>
    <n v="37"/>
    <x v="2"/>
    <n v="1754.32"/>
    <n v="1856.4"/>
    <s v="New"/>
    <n v="0.21"/>
    <s v="Bank Transfer"/>
    <s v="Retail"/>
    <s v="North-Bob"/>
  </r>
  <r>
    <n v="1018"/>
    <d v="2023-04-27T00:00:00"/>
    <x v="1"/>
    <x v="2"/>
    <n v="7629.7"/>
    <n v="17"/>
    <x v="2"/>
    <n v="355.72"/>
    <n v="438.27"/>
    <s v="Returning"/>
    <n v="0.06"/>
    <s v="Bank Transfer"/>
    <s v="Online"/>
    <s v="South-David"/>
  </r>
  <r>
    <n v="1100"/>
    <d v="2023-12-20T00:00:00"/>
    <x v="1"/>
    <x v="1"/>
    <n v="1629.47"/>
    <n v="39"/>
    <x v="3"/>
    <n v="3685.03"/>
    <n v="3743.39"/>
    <s v="New"/>
    <n v="0.01"/>
    <s v="Bank Transfer"/>
    <s v="Online"/>
    <s v="West-David"/>
  </r>
  <r>
    <n v="1086"/>
    <d v="2023-08-16T00:00:00"/>
    <x v="4"/>
    <x v="3"/>
    <n v="4923.93"/>
    <n v="48"/>
    <x v="1"/>
    <n v="2632.58"/>
    <n v="2926.68"/>
    <s v="Returning"/>
    <n v="0.14000000000000001"/>
    <s v="Cash"/>
    <s v="Online"/>
    <s v="East-Ali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F29" firstHeaderRow="1" firstDataRow="2" firstDataCol="1"/>
  <pivotFields count="14">
    <pivotField showAll="0"/>
    <pivotField numFmtId="164" showAll="0"/>
    <pivotField axis="axisRow" showAll="0" sortType="descending">
      <items count="6"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5">
        <item x="1"/>
        <item x="2"/>
        <item x="0"/>
        <item x="3"/>
        <item t="default"/>
      </items>
    </pivotField>
    <pivotField dataField="1" showAll="0"/>
    <pivotField showAll="0"/>
    <pivotField axis="axisCol" showAll="0" sortType="descending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2"/>
  </rowFields>
  <rowItems count="25">
    <i>
      <x/>
    </i>
    <i r="1">
      <x v="1"/>
    </i>
    <i r="1">
      <x v="3"/>
    </i>
    <i r="1">
      <x v="2"/>
    </i>
    <i r="1">
      <x v="4"/>
    </i>
    <i r="1">
      <x/>
    </i>
    <i>
      <x v="1"/>
    </i>
    <i r="1">
      <x v="3"/>
    </i>
    <i r="1">
      <x v="1"/>
    </i>
    <i r="1">
      <x/>
    </i>
    <i r="1">
      <x v="4"/>
    </i>
    <i r="1">
      <x v="2"/>
    </i>
    <i>
      <x v="2"/>
    </i>
    <i r="1">
      <x v="4"/>
    </i>
    <i r="1">
      <x v="2"/>
    </i>
    <i r="1">
      <x v="3"/>
    </i>
    <i r="1">
      <x/>
    </i>
    <i r="1">
      <x v="1"/>
    </i>
    <i>
      <x v="3"/>
    </i>
    <i r="1">
      <x v="1"/>
    </i>
    <i r="1">
      <x v="3"/>
    </i>
    <i r="1">
      <x/>
    </i>
    <i r="1">
      <x v="4"/>
    </i>
    <i r="1">
      <x v="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_Amount" fld="4" baseField="0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8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F29"/>
  <sheetViews>
    <sheetView topLeftCell="A6" workbookViewId="0">
      <selection activeCell="F24" sqref="F24"/>
    </sheetView>
  </sheetViews>
  <sheetFormatPr defaultRowHeight="12.5"/>
  <cols>
    <col min="1" max="1" width="19.90625" customWidth="1"/>
    <col min="2" max="2" width="15.90625" customWidth="1"/>
    <col min="3" max="5" width="10.81640625" customWidth="1"/>
    <col min="6" max="6" width="11.08984375" customWidth="1"/>
    <col min="7" max="7" width="10.08984375" customWidth="1"/>
    <col min="8" max="12" width="10.08984375" bestFit="1" customWidth="1"/>
    <col min="13" max="14" width="10.08984375" customWidth="1"/>
    <col min="15" max="18" width="10.08984375" bestFit="1" customWidth="1"/>
    <col min="19" max="19" width="10.08984375" customWidth="1"/>
    <col min="20" max="24" width="10.08984375" bestFit="1" customWidth="1"/>
    <col min="25" max="26" width="10.08984375" customWidth="1"/>
    <col min="27" max="191" width="10.08984375" bestFit="1" customWidth="1"/>
    <col min="192" max="192" width="13.7265625" bestFit="1" customWidth="1"/>
    <col min="193" max="364" width="10.08984375" bestFit="1" customWidth="1"/>
    <col min="365" max="365" width="10.81640625" bestFit="1" customWidth="1"/>
    <col min="366" max="366" width="12.08984375" bestFit="1" customWidth="1"/>
    <col min="367" max="549" width="10.08984375" bestFit="1" customWidth="1"/>
    <col min="550" max="550" width="15.453125" bestFit="1" customWidth="1"/>
    <col min="551" max="731" width="10.08984375" bestFit="1" customWidth="1"/>
    <col min="732" max="732" width="13" bestFit="1" customWidth="1"/>
    <col min="733" max="733" width="11.08984375" bestFit="1" customWidth="1"/>
  </cols>
  <sheetData>
    <row r="3" spans="1:6">
      <c r="A3" s="4" t="s">
        <v>56</v>
      </c>
      <c r="B3" s="4" t="s">
        <v>57</v>
      </c>
    </row>
    <row r="4" spans="1:6">
      <c r="A4" s="4" t="s">
        <v>54</v>
      </c>
      <c r="B4" t="s">
        <v>16</v>
      </c>
      <c r="C4" t="s">
        <v>26</v>
      </c>
      <c r="D4" t="s">
        <v>35</v>
      </c>
      <c r="E4" t="s">
        <v>29</v>
      </c>
      <c r="F4" t="s">
        <v>55</v>
      </c>
    </row>
    <row r="5" spans="1:6">
      <c r="A5" s="5" t="s">
        <v>21</v>
      </c>
      <c r="B5" s="6">
        <v>301496.45</v>
      </c>
      <c r="C5" s="6">
        <v>315735.51</v>
      </c>
      <c r="D5" s="6">
        <v>304067.96999999997</v>
      </c>
      <c r="E5" s="6">
        <v>314309</v>
      </c>
      <c r="F5" s="6">
        <v>1235608.93</v>
      </c>
    </row>
    <row r="6" spans="1:6">
      <c r="A6" s="7" t="s">
        <v>14</v>
      </c>
      <c r="B6" s="6">
        <v>101624.97</v>
      </c>
      <c r="C6" s="6">
        <v>74283.760000000009</v>
      </c>
      <c r="D6" s="6">
        <v>53866.400000000001</v>
      </c>
      <c r="E6" s="6">
        <v>56674.149999999994</v>
      </c>
      <c r="F6" s="6">
        <v>286449.28000000003</v>
      </c>
    </row>
    <row r="7" spans="1:6">
      <c r="A7" s="7" t="s">
        <v>24</v>
      </c>
      <c r="B7" s="6">
        <v>73633.239999999991</v>
      </c>
      <c r="C7" s="6">
        <v>66134.200000000012</v>
      </c>
      <c r="D7" s="6">
        <v>49489.179999999993</v>
      </c>
      <c r="E7" s="6">
        <v>73910.97</v>
      </c>
      <c r="F7" s="6">
        <v>263167.58999999997</v>
      </c>
    </row>
    <row r="8" spans="1:6">
      <c r="A8" s="7" t="s">
        <v>33</v>
      </c>
      <c r="B8" s="6">
        <v>29399.649999999994</v>
      </c>
      <c r="C8" s="6">
        <v>62300.63</v>
      </c>
      <c r="D8" s="6">
        <v>66084.31</v>
      </c>
      <c r="E8" s="6">
        <v>81924.260000000009</v>
      </c>
      <c r="F8" s="6">
        <v>239708.85</v>
      </c>
    </row>
    <row r="9" spans="1:6">
      <c r="A9" s="7" t="s">
        <v>38</v>
      </c>
      <c r="B9" s="6">
        <v>46154.52</v>
      </c>
      <c r="C9" s="6">
        <v>80790.050000000017</v>
      </c>
      <c r="D9" s="6">
        <v>51381.090000000004</v>
      </c>
      <c r="E9" s="6">
        <v>52267.01</v>
      </c>
      <c r="F9" s="6">
        <v>230592.67</v>
      </c>
    </row>
    <row r="10" spans="1:6">
      <c r="A10" s="7" t="s">
        <v>42</v>
      </c>
      <c r="B10" s="6">
        <v>50684.070000000007</v>
      </c>
      <c r="C10" s="6">
        <v>32226.870000000003</v>
      </c>
      <c r="D10" s="6">
        <v>83246.989999999991</v>
      </c>
      <c r="E10" s="6">
        <v>49532.61</v>
      </c>
      <c r="F10" s="6">
        <v>215690.53999999998</v>
      </c>
    </row>
    <row r="11" spans="1:6">
      <c r="A11" s="5" t="s">
        <v>25</v>
      </c>
      <c r="B11" s="6">
        <v>289881.65000000002</v>
      </c>
      <c r="C11" s="6">
        <v>301187.51</v>
      </c>
      <c r="D11" s="6">
        <v>293663.95999999996</v>
      </c>
      <c r="E11" s="6">
        <v>269517.74</v>
      </c>
      <c r="F11" s="6">
        <v>1154250.8599999999</v>
      </c>
    </row>
    <row r="12" spans="1:6">
      <c r="A12" s="7" t="s">
        <v>24</v>
      </c>
      <c r="B12" s="6">
        <v>81698.260000000009</v>
      </c>
      <c r="C12" s="6">
        <v>68997.62</v>
      </c>
      <c r="D12" s="6">
        <v>52596.24</v>
      </c>
      <c r="E12" s="6">
        <v>108124.87</v>
      </c>
      <c r="F12" s="6">
        <v>311416.99</v>
      </c>
    </row>
    <row r="13" spans="1:6">
      <c r="A13" s="7" t="s">
        <v>14</v>
      </c>
      <c r="B13" s="6">
        <v>59546.350000000006</v>
      </c>
      <c r="C13" s="6">
        <v>62916.409999999989</v>
      </c>
      <c r="D13" s="6">
        <v>73666.48</v>
      </c>
      <c r="E13" s="6">
        <v>55071.19</v>
      </c>
      <c r="F13" s="6">
        <v>251200.43</v>
      </c>
    </row>
    <row r="14" spans="1:6">
      <c r="A14" s="7" t="s">
        <v>42</v>
      </c>
      <c r="B14" s="6">
        <v>65968.14</v>
      </c>
      <c r="C14" s="6">
        <v>62230.290000000008</v>
      </c>
      <c r="D14" s="6">
        <v>67194.529999999984</v>
      </c>
      <c r="E14" s="6">
        <v>44021.58</v>
      </c>
      <c r="F14" s="6">
        <v>239414.53999999998</v>
      </c>
    </row>
    <row r="15" spans="1:6">
      <c r="A15" s="7" t="s">
        <v>38</v>
      </c>
      <c r="B15" s="6">
        <v>53088.53</v>
      </c>
      <c r="C15" s="6">
        <v>43403.97</v>
      </c>
      <c r="D15" s="6">
        <v>71177.189999999988</v>
      </c>
      <c r="E15" s="6">
        <v>28408.530000000002</v>
      </c>
      <c r="F15" s="6">
        <v>196078.22</v>
      </c>
    </row>
    <row r="16" spans="1:6">
      <c r="A16" s="7" t="s">
        <v>33</v>
      </c>
      <c r="B16" s="6">
        <v>29580.370000000003</v>
      </c>
      <c r="C16" s="6">
        <v>63639.22</v>
      </c>
      <c r="D16" s="6">
        <v>29029.52</v>
      </c>
      <c r="E16" s="6">
        <v>33891.57</v>
      </c>
      <c r="F16" s="6">
        <v>156140.68</v>
      </c>
    </row>
    <row r="17" spans="1:6">
      <c r="A17" s="5" t="s">
        <v>15</v>
      </c>
      <c r="B17" s="6">
        <v>394983.35</v>
      </c>
      <c r="C17" s="6">
        <v>258985.65</v>
      </c>
      <c r="D17" s="6">
        <v>342666.29</v>
      </c>
      <c r="E17" s="6">
        <v>372977.22</v>
      </c>
      <c r="F17" s="6">
        <v>1369612.51</v>
      </c>
    </row>
    <row r="18" spans="1:6">
      <c r="A18" s="7" t="s">
        <v>38</v>
      </c>
      <c r="B18" s="6">
        <v>89050.690000000017</v>
      </c>
      <c r="C18" s="6">
        <v>23573.599999999999</v>
      </c>
      <c r="D18" s="6">
        <v>92482.369999999981</v>
      </c>
      <c r="E18" s="6">
        <v>99065.540000000008</v>
      </c>
      <c r="F18" s="6">
        <v>304172.19999999995</v>
      </c>
    </row>
    <row r="19" spans="1:6">
      <c r="A19" s="7" t="s">
        <v>33</v>
      </c>
      <c r="B19" s="6">
        <v>108438.37999999999</v>
      </c>
      <c r="C19" s="6">
        <v>40688.859999999993</v>
      </c>
      <c r="D19" s="6">
        <v>71293.960000000006</v>
      </c>
      <c r="E19" s="6">
        <v>79367.81</v>
      </c>
      <c r="F19" s="6">
        <v>299789.01</v>
      </c>
    </row>
    <row r="20" spans="1:6">
      <c r="A20" s="7" t="s">
        <v>24</v>
      </c>
      <c r="B20" s="6">
        <v>83154.64</v>
      </c>
      <c r="C20" s="6">
        <v>72141.679999999993</v>
      </c>
      <c r="D20" s="6">
        <v>78658.100000000006</v>
      </c>
      <c r="E20" s="6">
        <v>48584.85</v>
      </c>
      <c r="F20" s="6">
        <v>282539.27</v>
      </c>
    </row>
    <row r="21" spans="1:6">
      <c r="A21" s="7" t="s">
        <v>42</v>
      </c>
      <c r="B21" s="6">
        <v>70243.44</v>
      </c>
      <c r="C21" s="6">
        <v>50607.000000000007</v>
      </c>
      <c r="D21" s="6">
        <v>48260.069999999992</v>
      </c>
      <c r="E21" s="6">
        <v>80536.709999999977</v>
      </c>
      <c r="F21" s="6">
        <v>249647.21999999997</v>
      </c>
    </row>
    <row r="22" spans="1:6">
      <c r="A22" s="7" t="s">
        <v>14</v>
      </c>
      <c r="B22" s="6">
        <v>44096.2</v>
      </c>
      <c r="C22" s="6">
        <v>71974.509999999995</v>
      </c>
      <c r="D22" s="6">
        <v>51971.790000000008</v>
      </c>
      <c r="E22" s="6">
        <v>65422.30999999999</v>
      </c>
      <c r="F22" s="6">
        <v>233464.81</v>
      </c>
    </row>
    <row r="23" spans="1:6">
      <c r="A23" s="5" t="s">
        <v>34</v>
      </c>
      <c r="B23" s="6">
        <v>274156.24</v>
      </c>
      <c r="C23" s="6">
        <v>325864.87</v>
      </c>
      <c r="D23" s="6">
        <v>303101.42</v>
      </c>
      <c r="E23" s="6">
        <v>356670.39999999997</v>
      </c>
      <c r="F23" s="6">
        <v>1259792.93</v>
      </c>
    </row>
    <row r="24" spans="1:6">
      <c r="A24" s="7" t="s">
        <v>14</v>
      </c>
      <c r="B24" s="6">
        <v>59153.630000000005</v>
      </c>
      <c r="C24" s="6">
        <v>103813.84000000001</v>
      </c>
      <c r="D24" s="6">
        <v>69091.67</v>
      </c>
      <c r="E24" s="6">
        <v>77816.969999999972</v>
      </c>
      <c r="F24" s="6">
        <v>309876.11</v>
      </c>
    </row>
    <row r="25" spans="1:6">
      <c r="A25" s="7" t="s">
        <v>24</v>
      </c>
      <c r="B25" s="6">
        <v>62964.49</v>
      </c>
      <c r="C25" s="6">
        <v>74385.03</v>
      </c>
      <c r="D25" s="6">
        <v>59699.840000000004</v>
      </c>
      <c r="E25" s="6">
        <v>87564.15</v>
      </c>
      <c r="F25" s="6">
        <v>284613.51</v>
      </c>
    </row>
    <row r="26" spans="1:6">
      <c r="A26" s="7" t="s">
        <v>42</v>
      </c>
      <c r="B26" s="6">
        <v>54227.76</v>
      </c>
      <c r="C26" s="6">
        <v>81768</v>
      </c>
      <c r="D26" s="6">
        <v>63614.7</v>
      </c>
      <c r="E26" s="6">
        <v>61179.010000000009</v>
      </c>
      <c r="F26" s="6">
        <v>260789.47000000003</v>
      </c>
    </row>
    <row r="27" spans="1:6">
      <c r="A27" s="7" t="s">
        <v>38</v>
      </c>
      <c r="B27" s="6">
        <v>44551.75</v>
      </c>
      <c r="C27" s="6">
        <v>50085</v>
      </c>
      <c r="D27" s="6">
        <v>62739.909999999996</v>
      </c>
      <c r="E27" s="6">
        <v>81964.239999999991</v>
      </c>
      <c r="F27" s="6">
        <v>239340.9</v>
      </c>
    </row>
    <row r="28" spans="1:6">
      <c r="A28" s="7" t="s">
        <v>33</v>
      </c>
      <c r="B28" s="6">
        <v>53258.610000000008</v>
      </c>
      <c r="C28" s="6">
        <v>15812.999999999998</v>
      </c>
      <c r="D28" s="6">
        <v>47955.3</v>
      </c>
      <c r="E28" s="6">
        <v>48146.03</v>
      </c>
      <c r="F28" s="6">
        <v>165172.94</v>
      </c>
    </row>
    <row r="29" spans="1:6">
      <c r="A29" s="5" t="s">
        <v>55</v>
      </c>
      <c r="B29" s="6">
        <v>1260517.6900000002</v>
      </c>
      <c r="C29" s="6">
        <v>1201773.54</v>
      </c>
      <c r="D29" s="6">
        <v>1243499.6399999999</v>
      </c>
      <c r="E29" s="6">
        <v>1313474.3599999999</v>
      </c>
      <c r="F29" s="6">
        <v>5019265.2300000004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8"/>
  <sheetViews>
    <sheetView workbookViewId="0">
      <selection activeCell="B8" sqref="B8"/>
    </sheetView>
  </sheetViews>
  <sheetFormatPr defaultRowHeight="12.5"/>
  <cols>
    <col min="1" max="1" width="13" bestFit="1" customWidth="1"/>
    <col min="2" max="2" width="12.1796875" bestFit="1" customWidth="1"/>
  </cols>
  <sheetData>
    <row r="3" spans="1:2">
      <c r="A3" s="4" t="s">
        <v>54</v>
      </c>
      <c r="B3" t="s">
        <v>59</v>
      </c>
    </row>
    <row r="4" spans="1:2">
      <c r="A4" s="5" t="s">
        <v>29</v>
      </c>
      <c r="B4" s="6">
        <v>1712957.7999999998</v>
      </c>
    </row>
    <row r="5" spans="1:2">
      <c r="A5" s="5" t="s">
        <v>35</v>
      </c>
      <c r="B5" s="6">
        <v>1574320.0600000003</v>
      </c>
    </row>
    <row r="6" spans="1:2">
      <c r="A6" s="5" t="s">
        <v>26</v>
      </c>
      <c r="B6" s="6">
        <v>1421108.05</v>
      </c>
    </row>
    <row r="7" spans="1:2">
      <c r="A7" s="5" t="s">
        <v>16</v>
      </c>
      <c r="B7" s="6">
        <v>1779461.1599999995</v>
      </c>
    </row>
    <row r="8" spans="1:2">
      <c r="A8" s="5" t="s">
        <v>55</v>
      </c>
      <c r="B8" s="6">
        <v>6487847.0699999994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01"/>
  <sheetViews>
    <sheetView tabSelected="1" workbookViewId="0">
      <selection activeCell="E8" sqref="E8"/>
    </sheetView>
  </sheetViews>
  <sheetFormatPr defaultColWidth="11.54296875" defaultRowHeight="12.5"/>
  <cols>
    <col min="1" max="1" width="10.453125" customWidth="1"/>
    <col min="2" max="2" width="10.6328125" customWidth="1"/>
    <col min="3" max="3" width="10.08984375" customWidth="1"/>
    <col min="4" max="4" width="7" customWidth="1"/>
    <col min="5" max="5" width="13.08984375" customWidth="1"/>
    <col min="6" max="6" width="12.7265625" customWidth="1"/>
    <col min="7" max="7" width="16" customWidth="1"/>
    <col min="8" max="8" width="9.26953125" customWidth="1"/>
    <col min="9" max="9" width="9.6328125" customWidth="1"/>
    <col min="10" max="10" width="14.26953125" customWidth="1"/>
    <col min="11" max="11" width="8.36328125" customWidth="1"/>
    <col min="12" max="12" width="15.6328125" customWidth="1"/>
    <col min="13" max="13" width="13.453125" customWidth="1"/>
    <col min="14" max="14" width="20.7265625" customWidth="1"/>
    <col min="18" max="18" width="12.54296875" bestFit="1" customWidth="1"/>
  </cols>
  <sheetData>
    <row r="1" spans="1:18" s="2" customFormat="1" ht="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58</v>
      </c>
      <c r="R1" s="3">
        <f>SUM(E2:E1001)</f>
        <v>5019265.2300000023</v>
      </c>
    </row>
    <row r="2" spans="1:18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  <c r="O2">
        <f>(I2-H2)*F2</f>
        <v>2060.4600000000005</v>
      </c>
    </row>
    <row r="3" spans="1:18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  <c r="O3">
        <f t="shared" ref="O3:O66" si="0">(I3-H3)*F3</f>
        <v>6681.8499999999949</v>
      </c>
      <c r="R3">
        <f>SUMIFS(E2:E1001,D2:D1001,"North",G2:G1001,"Furniture")</f>
        <v>394983.35</v>
      </c>
    </row>
    <row r="4" spans="1:18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  <c r="O4">
        <f t="shared" si="0"/>
        <v>3295.1999999999994</v>
      </c>
    </row>
    <row r="5" spans="1:18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  <c r="O5">
        <f t="shared" si="0"/>
        <v>5371.0800000000099</v>
      </c>
      <c r="R5">
        <f>COUNTIFS(J2:J1001,"Returning",L2:L1001,"Cash")</f>
        <v>153</v>
      </c>
    </row>
    <row r="6" spans="1:18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  <c r="O6">
        <f t="shared" si="0"/>
        <v>719.42000000000041</v>
      </c>
    </row>
    <row r="7" spans="1:18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  <c r="O7">
        <f t="shared" si="0"/>
        <v>6583.0400000000009</v>
      </c>
    </row>
    <row r="8" spans="1:18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  <c r="O8">
        <f t="shared" si="0"/>
        <v>6243.1200000000063</v>
      </c>
    </row>
    <row r="9" spans="1:18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  <c r="O9">
        <f t="shared" si="0"/>
        <v>12058.439999999995</v>
      </c>
    </row>
    <row r="10" spans="1:18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1095.45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  <c r="O10">
        <f t="shared" si="0"/>
        <v>10721.700000000003</v>
      </c>
    </row>
    <row r="11" spans="1:18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  <c r="O11">
        <f t="shared" si="0"/>
        <v>8171.8200000000043</v>
      </c>
    </row>
    <row r="12" spans="1:18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  <c r="O12">
        <f t="shared" si="0"/>
        <v>1007.3699999999972</v>
      </c>
    </row>
    <row r="13" spans="1:18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  <c r="O13">
        <f t="shared" si="0"/>
        <v>1575.0900000000047</v>
      </c>
    </row>
    <row r="14" spans="1:18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  <c r="O14">
        <f t="shared" si="0"/>
        <v>400.68000000000086</v>
      </c>
    </row>
    <row r="15" spans="1:18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  <c r="O15">
        <f t="shared" si="0"/>
        <v>2411.0999999999967</v>
      </c>
    </row>
    <row r="16" spans="1:18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  <c r="O16">
        <f t="shared" si="0"/>
        <v>6980.4000000000015</v>
      </c>
    </row>
    <row r="17" spans="1:15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  <c r="O17">
        <f t="shared" si="0"/>
        <v>17590.079999999998</v>
      </c>
    </row>
    <row r="18" spans="1:15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  <c r="O18">
        <f t="shared" si="0"/>
        <v>6721.6299999999901</v>
      </c>
    </row>
    <row r="19" spans="1:15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  <c r="O19">
        <f t="shared" si="0"/>
        <v>5176.8000000000029</v>
      </c>
    </row>
    <row r="20" spans="1:15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  <c r="O20">
        <f t="shared" si="0"/>
        <v>3037.9099999999976</v>
      </c>
    </row>
    <row r="21" spans="1:15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  <c r="O21">
        <f t="shared" si="0"/>
        <v>3701.0999999999967</v>
      </c>
    </row>
    <row r="22" spans="1:15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  <c r="O22">
        <f t="shared" si="0"/>
        <v>368.64000000000033</v>
      </c>
    </row>
    <row r="23" spans="1:15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  <c r="O23">
        <f t="shared" si="0"/>
        <v>3094.6000000000004</v>
      </c>
    </row>
    <row r="24" spans="1:15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  <c r="O24">
        <f t="shared" si="0"/>
        <v>21649.319999999989</v>
      </c>
    </row>
    <row r="25" spans="1:15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  <c r="O25">
        <f t="shared" si="0"/>
        <v>5790.8000000000056</v>
      </c>
    </row>
    <row r="26" spans="1:15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  <c r="O26">
        <f t="shared" si="0"/>
        <v>8714.7000000000025</v>
      </c>
    </row>
    <row r="27" spans="1:15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  <c r="O27">
        <f t="shared" si="0"/>
        <v>7650.5999999999995</v>
      </c>
    </row>
    <row r="28" spans="1:15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  <c r="O28">
        <f t="shared" si="0"/>
        <v>2396.79</v>
      </c>
    </row>
    <row r="29" spans="1:15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  <c r="O29">
        <f t="shared" si="0"/>
        <v>2657.6999999999975</v>
      </c>
    </row>
    <row r="30" spans="1:15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4314.5600000000004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  <c r="O30">
        <f t="shared" si="0"/>
        <v>7376.1800000000239</v>
      </c>
    </row>
    <row r="31" spans="1:15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  <c r="O31">
        <f t="shared" si="0"/>
        <v>26.860000000000127</v>
      </c>
    </row>
    <row r="32" spans="1:15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  <c r="O32">
        <f t="shared" si="0"/>
        <v>14129.279999999995</v>
      </c>
    </row>
    <row r="33" spans="1:15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  <c r="O33">
        <f t="shared" si="0"/>
        <v>15080.800000000003</v>
      </c>
    </row>
    <row r="34" spans="1:15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  <c r="O34">
        <f t="shared" si="0"/>
        <v>1968.3399999999992</v>
      </c>
    </row>
    <row r="35" spans="1:15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  <c r="O35">
        <f t="shared" si="0"/>
        <v>6842.16</v>
      </c>
    </row>
    <row r="36" spans="1:15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  <c r="O36">
        <f t="shared" si="0"/>
        <v>7145.6000000000058</v>
      </c>
    </row>
    <row r="37" spans="1:15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  <c r="O37">
        <f t="shared" si="0"/>
        <v>3678.0300000000007</v>
      </c>
    </row>
    <row r="38" spans="1:15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  <c r="O38">
        <f t="shared" si="0"/>
        <v>11530.559999999998</v>
      </c>
    </row>
    <row r="39" spans="1:15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  <c r="O39">
        <f t="shared" si="0"/>
        <v>1978.6499999999978</v>
      </c>
    </row>
    <row r="40" spans="1:15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  <c r="O40">
        <f t="shared" si="0"/>
        <v>5472.12</v>
      </c>
    </row>
    <row r="41" spans="1:15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  <c r="O41">
        <f t="shared" si="0"/>
        <v>2826.7800000000025</v>
      </c>
    </row>
    <row r="42" spans="1:15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  <c r="O42">
        <f t="shared" si="0"/>
        <v>14270.399999999994</v>
      </c>
    </row>
    <row r="43" spans="1:15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  <c r="O43">
        <f t="shared" si="0"/>
        <v>337.54000000000178</v>
      </c>
    </row>
    <row r="44" spans="1:15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  <c r="O44">
        <f t="shared" si="0"/>
        <v>2603.3600000000006</v>
      </c>
    </row>
    <row r="45" spans="1:15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  <c r="O45">
        <f t="shared" si="0"/>
        <v>1166.4000000000015</v>
      </c>
    </row>
    <row r="46" spans="1:15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  <c r="O46">
        <f t="shared" si="0"/>
        <v>6219.1799999999976</v>
      </c>
    </row>
    <row r="47" spans="1:15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  <c r="O47">
        <f t="shared" si="0"/>
        <v>2150.159999999998</v>
      </c>
    </row>
    <row r="48" spans="1:15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  <c r="O48">
        <f t="shared" si="0"/>
        <v>94.649999999999636</v>
      </c>
    </row>
    <row r="49" spans="1:15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  <c r="O49">
        <f t="shared" si="0"/>
        <v>13535.109999999979</v>
      </c>
    </row>
    <row r="50" spans="1:15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  <c r="O50">
        <f t="shared" si="0"/>
        <v>17686.799999999985</v>
      </c>
    </row>
    <row r="51" spans="1:15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  <c r="O51">
        <f t="shared" si="0"/>
        <v>20157.899999999994</v>
      </c>
    </row>
    <row r="52" spans="1:15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  <c r="O52">
        <f t="shared" si="0"/>
        <v>1146.75</v>
      </c>
    </row>
    <row r="53" spans="1:15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2778.4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  <c r="O53">
        <f t="shared" si="0"/>
        <v>14098.890000000009</v>
      </c>
    </row>
    <row r="54" spans="1:15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  <c r="O54">
        <f t="shared" si="0"/>
        <v>14427.78999999999</v>
      </c>
    </row>
    <row r="55" spans="1:15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  <c r="O55">
        <f t="shared" si="0"/>
        <v>5526.0599999999922</v>
      </c>
    </row>
    <row r="56" spans="1:15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  <c r="O56">
        <f t="shared" si="0"/>
        <v>329.12000000000216</v>
      </c>
    </row>
    <row r="57" spans="1:15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  <c r="O57">
        <f t="shared" si="0"/>
        <v>11484</v>
      </c>
    </row>
    <row r="58" spans="1:15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3152.28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  <c r="O58">
        <f t="shared" si="0"/>
        <v>15145.280000000013</v>
      </c>
    </row>
    <row r="59" spans="1:15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  <c r="O59">
        <f t="shared" si="0"/>
        <v>9272.4599999999937</v>
      </c>
    </row>
    <row r="60" spans="1:15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  <c r="O60">
        <f t="shared" si="0"/>
        <v>4689.0899999999992</v>
      </c>
    </row>
    <row r="61" spans="1:15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  <c r="O61">
        <f t="shared" si="0"/>
        <v>5613.9299999999985</v>
      </c>
    </row>
    <row r="62" spans="1:15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  <c r="O62">
        <f t="shared" si="0"/>
        <v>4312.7999999999884</v>
      </c>
    </row>
    <row r="63" spans="1:15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  <c r="O63">
        <f t="shared" si="0"/>
        <v>8688.7099999999882</v>
      </c>
    </row>
    <row r="64" spans="1:15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  <c r="O64">
        <f t="shared" si="0"/>
        <v>2254.5</v>
      </c>
    </row>
    <row r="65" spans="1:15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  <c r="O65">
        <f t="shared" si="0"/>
        <v>1788.600000000004</v>
      </c>
    </row>
    <row r="66" spans="1:15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  <c r="O66">
        <f t="shared" si="0"/>
        <v>16727.980000000003</v>
      </c>
    </row>
    <row r="67" spans="1:15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  <c r="O67">
        <f t="shared" ref="O67:O130" si="1">(I67-H67)*F67</f>
        <v>5250.3000000000029</v>
      </c>
    </row>
    <row r="68" spans="1:15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  <c r="O68">
        <f t="shared" si="1"/>
        <v>22108.950000000019</v>
      </c>
    </row>
    <row r="69" spans="1:15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  <c r="O69">
        <f t="shared" si="1"/>
        <v>1580.9599999999991</v>
      </c>
    </row>
    <row r="70" spans="1:15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  <c r="O70">
        <f t="shared" si="1"/>
        <v>3983.559999999994</v>
      </c>
    </row>
    <row r="71" spans="1:15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1429.44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  <c r="O71">
        <f t="shared" si="1"/>
        <v>8934.6600000000071</v>
      </c>
    </row>
    <row r="72" spans="1:15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  <c r="O72">
        <f t="shared" si="1"/>
        <v>7899.1500000000015</v>
      </c>
    </row>
    <row r="73" spans="1:15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  <c r="O73">
        <f t="shared" si="1"/>
        <v>483.5600000000004</v>
      </c>
    </row>
    <row r="74" spans="1:15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  <c r="O74">
        <f t="shared" si="1"/>
        <v>7039.9199999999983</v>
      </c>
    </row>
    <row r="75" spans="1:15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  <c r="O75">
        <f t="shared" si="1"/>
        <v>14839.159999999985</v>
      </c>
    </row>
    <row r="76" spans="1:15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  <c r="O76">
        <f t="shared" si="1"/>
        <v>7813.6799999999985</v>
      </c>
    </row>
    <row r="77" spans="1:15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  <c r="O77">
        <f t="shared" si="1"/>
        <v>48.579999999999927</v>
      </c>
    </row>
    <row r="78" spans="1:15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  <c r="O78">
        <f t="shared" si="1"/>
        <v>11008.400000000001</v>
      </c>
    </row>
    <row r="79" spans="1:15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  <c r="O79">
        <f t="shared" si="1"/>
        <v>682.48000000000138</v>
      </c>
    </row>
    <row r="80" spans="1:15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  <c r="O80">
        <f t="shared" si="1"/>
        <v>13788.839999999998</v>
      </c>
    </row>
    <row r="81" spans="1:15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  <c r="O81">
        <f t="shared" si="1"/>
        <v>1044.6800000000017</v>
      </c>
    </row>
    <row r="82" spans="1:15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  <c r="O82">
        <f t="shared" si="1"/>
        <v>7764.75</v>
      </c>
    </row>
    <row r="83" spans="1:15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  <c r="O83">
        <f t="shared" si="1"/>
        <v>2124.12</v>
      </c>
    </row>
    <row r="84" spans="1:15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  <c r="O84">
        <f t="shared" si="1"/>
        <v>4913.7799999999979</v>
      </c>
    </row>
    <row r="85" spans="1:15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  <c r="O85">
        <f t="shared" si="1"/>
        <v>8600.9200000000055</v>
      </c>
    </row>
    <row r="86" spans="1:15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  <c r="O86">
        <f t="shared" si="1"/>
        <v>2072.8399999999929</v>
      </c>
    </row>
    <row r="87" spans="1:15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  <c r="O87">
        <f t="shared" si="1"/>
        <v>305.17999999999984</v>
      </c>
    </row>
    <row r="88" spans="1:15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  <c r="O88">
        <f t="shared" si="1"/>
        <v>16560.019999999997</v>
      </c>
    </row>
    <row r="89" spans="1:15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  <c r="O89">
        <f t="shared" si="1"/>
        <v>16767.660000000003</v>
      </c>
    </row>
    <row r="90" spans="1:15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2910.51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  <c r="O90">
        <f t="shared" si="1"/>
        <v>41.480000000001382</v>
      </c>
    </row>
    <row r="91" spans="1:15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  <c r="O91">
        <f t="shared" si="1"/>
        <v>6624.8600000000024</v>
      </c>
    </row>
    <row r="92" spans="1:15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  <c r="O92">
        <f t="shared" si="1"/>
        <v>9423.9600000000009</v>
      </c>
    </row>
    <row r="93" spans="1:15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  <c r="O93">
        <f t="shared" si="1"/>
        <v>15346.309999999992</v>
      </c>
    </row>
    <row r="94" spans="1:15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  <c r="O94">
        <f t="shared" si="1"/>
        <v>2150.8599999999992</v>
      </c>
    </row>
    <row r="95" spans="1:15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  <c r="O95">
        <f t="shared" si="1"/>
        <v>4200.8399999999938</v>
      </c>
    </row>
    <row r="96" spans="1:15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  <c r="O96">
        <f t="shared" si="1"/>
        <v>1724.7100000000009</v>
      </c>
    </row>
    <row r="97" spans="1:15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  <c r="O97">
        <f t="shared" si="1"/>
        <v>13361.599999999999</v>
      </c>
    </row>
    <row r="98" spans="1:15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  <c r="O98">
        <f t="shared" si="1"/>
        <v>4028.4899999999966</v>
      </c>
    </row>
    <row r="99" spans="1:15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  <c r="O99">
        <f t="shared" si="1"/>
        <v>10190.549999999997</v>
      </c>
    </row>
    <row r="100" spans="1:15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  <c r="O100">
        <f t="shared" si="1"/>
        <v>16851.600000000013</v>
      </c>
    </row>
    <row r="101" spans="1:15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  <c r="O101">
        <f t="shared" si="1"/>
        <v>14819.819999999992</v>
      </c>
    </row>
    <row r="102" spans="1:15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  <c r="O102">
        <f t="shared" si="1"/>
        <v>8556.6499999999978</v>
      </c>
    </row>
    <row r="103" spans="1:15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  <c r="O103">
        <f t="shared" si="1"/>
        <v>8179.149999999986</v>
      </c>
    </row>
    <row r="104" spans="1:15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  <c r="O104">
        <f t="shared" si="1"/>
        <v>3828.1200000000013</v>
      </c>
    </row>
    <row r="105" spans="1:15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  <c r="O105">
        <f t="shared" si="1"/>
        <v>18626.8</v>
      </c>
    </row>
    <row r="106" spans="1:15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  <c r="O106">
        <f t="shared" si="1"/>
        <v>6573.5599999999995</v>
      </c>
    </row>
    <row r="107" spans="1:15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  <c r="O107">
        <f t="shared" si="1"/>
        <v>99</v>
      </c>
    </row>
    <row r="108" spans="1:15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  <c r="O108">
        <f t="shared" si="1"/>
        <v>6643.1400000000031</v>
      </c>
    </row>
    <row r="109" spans="1:15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  <c r="O109">
        <f t="shared" si="1"/>
        <v>628.0200000000018</v>
      </c>
    </row>
    <row r="110" spans="1:15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  <c r="O110">
        <f t="shared" si="1"/>
        <v>11494.55999999999</v>
      </c>
    </row>
    <row r="111" spans="1:15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  <c r="O111">
        <f t="shared" si="1"/>
        <v>17121.199999999997</v>
      </c>
    </row>
    <row r="112" spans="1:15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  <c r="O112">
        <f t="shared" si="1"/>
        <v>15425.849999999999</v>
      </c>
    </row>
    <row r="113" spans="1:15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4856.22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  <c r="O113">
        <f t="shared" si="1"/>
        <v>5603.7600000000057</v>
      </c>
    </row>
    <row r="114" spans="1:15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  <c r="O114">
        <f t="shared" si="1"/>
        <v>570.88000000000102</v>
      </c>
    </row>
    <row r="115" spans="1:15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  <c r="O115">
        <f t="shared" si="1"/>
        <v>4733.0400000000009</v>
      </c>
    </row>
    <row r="116" spans="1:15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  <c r="O116">
        <f t="shared" si="1"/>
        <v>381.27999999999884</v>
      </c>
    </row>
    <row r="117" spans="1:15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  <c r="O117">
        <f t="shared" si="1"/>
        <v>1716.12</v>
      </c>
    </row>
    <row r="118" spans="1:15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  <c r="O118">
        <f t="shared" si="1"/>
        <v>7060.0199999999986</v>
      </c>
    </row>
    <row r="119" spans="1:15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  <c r="O119">
        <f t="shared" si="1"/>
        <v>14047</v>
      </c>
    </row>
    <row r="120" spans="1:15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  <c r="O120">
        <f t="shared" si="1"/>
        <v>9728.1</v>
      </c>
    </row>
    <row r="121" spans="1:15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  <c r="O121">
        <f t="shared" si="1"/>
        <v>1985.579999999999</v>
      </c>
    </row>
    <row r="122" spans="1:15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  <c r="O122">
        <f t="shared" si="1"/>
        <v>7527.5199999999932</v>
      </c>
    </row>
    <row r="123" spans="1:15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  <c r="O123">
        <f t="shared" si="1"/>
        <v>7703.68</v>
      </c>
    </row>
    <row r="124" spans="1:15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  <c r="O124">
        <f t="shared" si="1"/>
        <v>5791.2</v>
      </c>
    </row>
    <row r="125" spans="1:15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  <c r="O125">
        <f t="shared" si="1"/>
        <v>4706.4199999999983</v>
      </c>
    </row>
    <row r="126" spans="1:15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  <c r="O126">
        <f t="shared" si="1"/>
        <v>5880.48</v>
      </c>
    </row>
    <row r="127" spans="1:15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  <c r="O127">
        <f t="shared" si="1"/>
        <v>6813.6600000000008</v>
      </c>
    </row>
    <row r="128" spans="1:15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  <c r="O128">
        <f t="shared" si="1"/>
        <v>557.55000000001473</v>
      </c>
    </row>
    <row r="129" spans="1:15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  <c r="O129">
        <f t="shared" si="1"/>
        <v>5305.2499999999991</v>
      </c>
    </row>
    <row r="130" spans="1:15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  <c r="O130">
        <f t="shared" si="1"/>
        <v>2013.4799999999932</v>
      </c>
    </row>
    <row r="131" spans="1:15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  <c r="O131">
        <f t="shared" ref="O131:O194" si="2">(I131-H131)*F131</f>
        <v>778.46999999999935</v>
      </c>
    </row>
    <row r="132" spans="1:15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  <c r="O132">
        <f t="shared" si="2"/>
        <v>530.15999999999804</v>
      </c>
    </row>
    <row r="133" spans="1:15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  <c r="O133">
        <f t="shared" si="2"/>
        <v>8793.9600000000046</v>
      </c>
    </row>
    <row r="134" spans="1:15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  <c r="O134">
        <f t="shared" si="2"/>
        <v>1063.2600000000029</v>
      </c>
    </row>
    <row r="135" spans="1:15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  <c r="O135">
        <f t="shared" si="2"/>
        <v>7054.3200000000015</v>
      </c>
    </row>
    <row r="136" spans="1:15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  <c r="O136">
        <f t="shared" si="2"/>
        <v>9960.7999999999993</v>
      </c>
    </row>
    <row r="137" spans="1:15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  <c r="O137">
        <f t="shared" si="2"/>
        <v>16090.399999999991</v>
      </c>
    </row>
    <row r="138" spans="1:15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  <c r="O138">
        <f t="shared" si="2"/>
        <v>4243.5999999999985</v>
      </c>
    </row>
    <row r="139" spans="1:15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2504.0300000000002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  <c r="O139">
        <f t="shared" si="2"/>
        <v>6104.3200000000033</v>
      </c>
    </row>
    <row r="140" spans="1:15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1625.71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  <c r="O140">
        <f t="shared" si="2"/>
        <v>91.080000000000382</v>
      </c>
    </row>
    <row r="141" spans="1:15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  <c r="O141">
        <f t="shared" si="2"/>
        <v>2671.9199999999983</v>
      </c>
    </row>
    <row r="142" spans="1:15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  <c r="O142">
        <f t="shared" si="2"/>
        <v>2316.400000000001</v>
      </c>
    </row>
    <row r="143" spans="1:15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  <c r="O143">
        <f t="shared" si="2"/>
        <v>568.19999999999891</v>
      </c>
    </row>
    <row r="144" spans="1:15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  <c r="O144">
        <f t="shared" si="2"/>
        <v>1641.0599999999931</v>
      </c>
    </row>
    <row r="145" spans="1:15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  <c r="O145">
        <f t="shared" si="2"/>
        <v>5666.8799999999974</v>
      </c>
    </row>
    <row r="146" spans="1:15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  <c r="O146">
        <f t="shared" si="2"/>
        <v>7679.77</v>
      </c>
    </row>
    <row r="147" spans="1:15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  <c r="O147">
        <f t="shared" si="2"/>
        <v>2126.1000000000004</v>
      </c>
    </row>
    <row r="148" spans="1:15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  <c r="O148">
        <f t="shared" si="2"/>
        <v>17465.350000000006</v>
      </c>
    </row>
    <row r="149" spans="1:15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  <c r="O149">
        <f t="shared" si="2"/>
        <v>5165.88</v>
      </c>
    </row>
    <row r="150" spans="1:15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  <c r="O150">
        <f t="shared" si="2"/>
        <v>8605.4899999999943</v>
      </c>
    </row>
    <row r="151" spans="1:15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  <c r="O151">
        <f t="shared" si="2"/>
        <v>21574.519999999997</v>
      </c>
    </row>
    <row r="152" spans="1:15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  <c r="O152">
        <f t="shared" si="2"/>
        <v>8542.56</v>
      </c>
    </row>
    <row r="153" spans="1:15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  <c r="O153">
        <f t="shared" si="2"/>
        <v>17558.73</v>
      </c>
    </row>
    <row r="154" spans="1:15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  <c r="O154">
        <f t="shared" si="2"/>
        <v>864.96000000000186</v>
      </c>
    </row>
    <row r="155" spans="1:15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  <c r="O155">
        <f t="shared" si="2"/>
        <v>1600.5700000000033</v>
      </c>
    </row>
    <row r="156" spans="1:15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  <c r="O156">
        <f t="shared" si="2"/>
        <v>9926.510000000002</v>
      </c>
    </row>
    <row r="157" spans="1:15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  <c r="O157">
        <f t="shared" si="2"/>
        <v>9010.4</v>
      </c>
    </row>
    <row r="158" spans="1:15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  <c r="O158">
        <f t="shared" si="2"/>
        <v>3787.5600000000013</v>
      </c>
    </row>
    <row r="159" spans="1:15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  <c r="O159">
        <f t="shared" si="2"/>
        <v>1740.4100000000017</v>
      </c>
    </row>
    <row r="160" spans="1:15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  <c r="O160">
        <f t="shared" si="2"/>
        <v>266.88000000000011</v>
      </c>
    </row>
    <row r="161" spans="1:15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  <c r="O161">
        <f t="shared" si="2"/>
        <v>9743.9499999999989</v>
      </c>
    </row>
    <row r="162" spans="1:15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  <c r="O162">
        <f t="shared" si="2"/>
        <v>3756.4800000000105</v>
      </c>
    </row>
    <row r="163" spans="1:15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  <c r="O163">
        <f t="shared" si="2"/>
        <v>12715.679999999993</v>
      </c>
    </row>
    <row r="164" spans="1:15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  <c r="O164">
        <f t="shared" si="2"/>
        <v>28.189999999999998</v>
      </c>
    </row>
    <row r="165" spans="1:15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  <c r="O165">
        <f t="shared" si="2"/>
        <v>1238.2499999999993</v>
      </c>
    </row>
    <row r="166" spans="1:15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  <c r="O166">
        <f t="shared" si="2"/>
        <v>678.89999999999986</v>
      </c>
    </row>
    <row r="167" spans="1:15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3027.92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  <c r="O167">
        <f t="shared" si="2"/>
        <v>10431.000000000007</v>
      </c>
    </row>
    <row r="168" spans="1:15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  <c r="O168">
        <f t="shared" si="2"/>
        <v>531.96000000000049</v>
      </c>
    </row>
    <row r="169" spans="1:15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  <c r="O169">
        <f t="shared" si="2"/>
        <v>2428.6500000000019</v>
      </c>
    </row>
    <row r="170" spans="1:15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  <c r="O170">
        <f t="shared" si="2"/>
        <v>10217.999999999995</v>
      </c>
    </row>
    <row r="171" spans="1:15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1649.74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  <c r="O171">
        <f t="shared" si="2"/>
        <v>2327.6000000000022</v>
      </c>
    </row>
    <row r="172" spans="1:15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  <c r="O172">
        <f t="shared" si="2"/>
        <v>13503.910000000007</v>
      </c>
    </row>
    <row r="173" spans="1:15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  <c r="O173">
        <f t="shared" si="2"/>
        <v>10657.240000000002</v>
      </c>
    </row>
    <row r="174" spans="1:15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  <c r="O174">
        <f t="shared" si="2"/>
        <v>1731.4499999999962</v>
      </c>
    </row>
    <row r="175" spans="1:15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3890.36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  <c r="O175">
        <f t="shared" si="2"/>
        <v>15543.990000000007</v>
      </c>
    </row>
    <row r="176" spans="1:15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  <c r="O176">
        <f t="shared" si="2"/>
        <v>3785.5599999999959</v>
      </c>
    </row>
    <row r="177" spans="1:15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  <c r="O177">
        <f t="shared" si="2"/>
        <v>4320.7500000000027</v>
      </c>
    </row>
    <row r="178" spans="1:15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  <c r="O178">
        <f t="shared" si="2"/>
        <v>8957.5800000000017</v>
      </c>
    </row>
    <row r="179" spans="1:15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  <c r="O179">
        <f t="shared" si="2"/>
        <v>7242.2999999999993</v>
      </c>
    </row>
    <row r="180" spans="1:15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  <c r="O180">
        <f t="shared" si="2"/>
        <v>6625.8400000000011</v>
      </c>
    </row>
    <row r="181" spans="1:15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  <c r="O181">
        <f t="shared" si="2"/>
        <v>5145.7499999999982</v>
      </c>
    </row>
    <row r="182" spans="1:15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  <c r="O182">
        <f t="shared" si="2"/>
        <v>10323.599999999999</v>
      </c>
    </row>
    <row r="183" spans="1:15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  <c r="O183">
        <f t="shared" si="2"/>
        <v>6548.8800000000028</v>
      </c>
    </row>
    <row r="184" spans="1:15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  <c r="O184">
        <f t="shared" si="2"/>
        <v>1281.4500000000003</v>
      </c>
    </row>
    <row r="185" spans="1:15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  <c r="O185">
        <f t="shared" si="2"/>
        <v>817.85999999999967</v>
      </c>
    </row>
    <row r="186" spans="1:15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  <c r="O186">
        <f t="shared" si="2"/>
        <v>17329.830000000002</v>
      </c>
    </row>
    <row r="187" spans="1:15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  <c r="O187">
        <f t="shared" si="2"/>
        <v>732.71999999999844</v>
      </c>
    </row>
    <row r="188" spans="1:15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  <c r="O188">
        <f t="shared" si="2"/>
        <v>1644.4799999999886</v>
      </c>
    </row>
    <row r="189" spans="1:15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  <c r="O189">
        <f t="shared" si="2"/>
        <v>13362.360000000002</v>
      </c>
    </row>
    <row r="190" spans="1:15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  <c r="O190">
        <f t="shared" si="2"/>
        <v>8338.7400000000034</v>
      </c>
    </row>
    <row r="191" spans="1:15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  <c r="O191">
        <f t="shared" si="2"/>
        <v>10973.990000000002</v>
      </c>
    </row>
    <row r="192" spans="1:15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2034.15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  <c r="O192">
        <f t="shared" si="2"/>
        <v>1810.2400000000007</v>
      </c>
    </row>
    <row r="193" spans="1:15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  <c r="O193">
        <f t="shared" si="2"/>
        <v>9712.440000000006</v>
      </c>
    </row>
    <row r="194" spans="1:15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  <c r="O194">
        <f t="shared" si="2"/>
        <v>7396.0199999999977</v>
      </c>
    </row>
    <row r="195" spans="1:15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2848.4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  <c r="O195">
        <f t="shared" ref="O195:O258" si="3">(I195-H195)*F195</f>
        <v>7076.7900000000045</v>
      </c>
    </row>
    <row r="196" spans="1:15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1004.7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  <c r="O196">
        <f t="shared" si="3"/>
        <v>2003.1200000000022</v>
      </c>
    </row>
    <row r="197" spans="1:15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  <c r="O197">
        <f t="shared" si="3"/>
        <v>13479.2</v>
      </c>
    </row>
    <row r="198" spans="1:15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  <c r="O198">
        <f t="shared" si="3"/>
        <v>2485.7799999999952</v>
      </c>
    </row>
    <row r="199" spans="1:15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  <c r="O199">
        <f t="shared" si="3"/>
        <v>6739.5999999999913</v>
      </c>
    </row>
    <row r="200" spans="1:15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  <c r="O200">
        <f t="shared" si="3"/>
        <v>9462.6600000000017</v>
      </c>
    </row>
    <row r="201" spans="1:15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  <c r="O201">
        <f t="shared" si="3"/>
        <v>818.69999999999993</v>
      </c>
    </row>
    <row r="202" spans="1:15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  <c r="O202">
        <f t="shared" si="3"/>
        <v>17254.799999999996</v>
      </c>
    </row>
    <row r="203" spans="1:15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  <c r="O203">
        <f t="shared" si="3"/>
        <v>1143.8999999999987</v>
      </c>
    </row>
    <row r="204" spans="1:15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1382.43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  <c r="O204">
        <f t="shared" si="3"/>
        <v>7695.2500000000045</v>
      </c>
    </row>
    <row r="205" spans="1:15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  <c r="O205">
        <f t="shared" si="3"/>
        <v>2501.9400000000196</v>
      </c>
    </row>
    <row r="206" spans="1:15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  <c r="O206">
        <f t="shared" si="3"/>
        <v>2600.8000000000002</v>
      </c>
    </row>
    <row r="207" spans="1:15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  <c r="O207">
        <f t="shared" si="3"/>
        <v>4220.0400000000009</v>
      </c>
    </row>
    <row r="208" spans="1:15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  <c r="O208">
        <f t="shared" si="3"/>
        <v>1483.0999999999995</v>
      </c>
    </row>
    <row r="209" spans="1:15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  <c r="O209">
        <f t="shared" si="3"/>
        <v>6320.2499999999918</v>
      </c>
    </row>
    <row r="210" spans="1:15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4172.3500000000004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  <c r="O210">
        <f t="shared" si="3"/>
        <v>938.32000000002154</v>
      </c>
    </row>
    <row r="211" spans="1:15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  <c r="O211">
        <f t="shared" si="3"/>
        <v>3083.850000000009</v>
      </c>
    </row>
    <row r="212" spans="1:15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  <c r="O212">
        <f t="shared" si="3"/>
        <v>11967.340000000011</v>
      </c>
    </row>
    <row r="213" spans="1:15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  <c r="O213">
        <f t="shared" si="3"/>
        <v>13568.23</v>
      </c>
    </row>
    <row r="214" spans="1:15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  <c r="O214">
        <f t="shared" si="3"/>
        <v>555.99999999999966</v>
      </c>
    </row>
    <row r="215" spans="1:15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  <c r="O215">
        <f t="shared" si="3"/>
        <v>3331.4400000000005</v>
      </c>
    </row>
    <row r="216" spans="1:15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  <c r="O216">
        <f t="shared" si="3"/>
        <v>20858.879999999997</v>
      </c>
    </row>
    <row r="217" spans="1:15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  <c r="O217">
        <f t="shared" si="3"/>
        <v>530.46</v>
      </c>
    </row>
    <row r="218" spans="1:15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4528.7700000000004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  <c r="O218">
        <f t="shared" si="3"/>
        <v>337.94000000000051</v>
      </c>
    </row>
    <row r="219" spans="1:15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  <c r="O219">
        <f t="shared" si="3"/>
        <v>16374.400000000005</v>
      </c>
    </row>
    <row r="220" spans="1:15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  <c r="O220">
        <f t="shared" si="3"/>
        <v>4131.8999999999869</v>
      </c>
    </row>
    <row r="221" spans="1:15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  <c r="O221">
        <f t="shared" si="3"/>
        <v>1710.2800000000002</v>
      </c>
    </row>
    <row r="222" spans="1:15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  <c r="O222">
        <f t="shared" si="3"/>
        <v>288.67999999999847</v>
      </c>
    </row>
    <row r="223" spans="1:15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  <c r="O223">
        <f t="shared" si="3"/>
        <v>21204.479999999992</v>
      </c>
    </row>
    <row r="224" spans="1:15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  <c r="O224">
        <f t="shared" si="3"/>
        <v>5515.1999999999989</v>
      </c>
    </row>
    <row r="225" spans="1:15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  <c r="O225">
        <f t="shared" si="3"/>
        <v>15000.959999999995</v>
      </c>
    </row>
    <row r="226" spans="1:15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  <c r="O226">
        <f t="shared" si="3"/>
        <v>1267.5000000000014</v>
      </c>
    </row>
    <row r="227" spans="1:15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  <c r="O227">
        <f t="shared" si="3"/>
        <v>2980.6400000000026</v>
      </c>
    </row>
    <row r="228" spans="1:15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  <c r="O228">
        <f t="shared" si="3"/>
        <v>479.44000000000233</v>
      </c>
    </row>
    <row r="229" spans="1:15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  <c r="O229">
        <f t="shared" si="3"/>
        <v>498.39999999999873</v>
      </c>
    </row>
    <row r="230" spans="1:15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  <c r="O230">
        <f t="shared" si="3"/>
        <v>9357.8999999999942</v>
      </c>
    </row>
    <row r="231" spans="1:15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  <c r="O231">
        <f t="shared" si="3"/>
        <v>4327.2899999999991</v>
      </c>
    </row>
    <row r="232" spans="1:15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  <c r="O232">
        <f t="shared" si="3"/>
        <v>17643.989999999994</v>
      </c>
    </row>
    <row r="233" spans="1:15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  <c r="O233">
        <f t="shared" si="3"/>
        <v>10893.710000000001</v>
      </c>
    </row>
    <row r="234" spans="1:15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  <c r="O234">
        <f t="shared" si="3"/>
        <v>1204.3500000000004</v>
      </c>
    </row>
    <row r="235" spans="1:15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  <c r="O235">
        <f t="shared" si="3"/>
        <v>6783.979999999985</v>
      </c>
    </row>
    <row r="236" spans="1:15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  <c r="O236">
        <f t="shared" si="3"/>
        <v>5672.2199999999975</v>
      </c>
    </row>
    <row r="237" spans="1:15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4880.8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  <c r="O237">
        <f t="shared" si="3"/>
        <v>11902.140000000016</v>
      </c>
    </row>
    <row r="238" spans="1:15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  <c r="O238">
        <f t="shared" si="3"/>
        <v>10077.499999999998</v>
      </c>
    </row>
    <row r="239" spans="1:15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  <c r="O239">
        <f t="shared" si="3"/>
        <v>2384.3999999999992</v>
      </c>
    </row>
    <row r="240" spans="1:15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  <c r="O240">
        <f t="shared" si="3"/>
        <v>214.76</v>
      </c>
    </row>
    <row r="241" spans="1:15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  <c r="O241">
        <f t="shared" si="3"/>
        <v>699.8199999999988</v>
      </c>
    </row>
    <row r="242" spans="1:15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  <c r="O242">
        <f t="shared" si="3"/>
        <v>6067.2000000000025</v>
      </c>
    </row>
    <row r="243" spans="1:15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1906.64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  <c r="O243">
        <f t="shared" si="3"/>
        <v>8551.8100000000049</v>
      </c>
    </row>
    <row r="244" spans="1:15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  <c r="O244">
        <f t="shared" si="3"/>
        <v>3164.0400000000077</v>
      </c>
    </row>
    <row r="245" spans="1:15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  <c r="O245">
        <f t="shared" si="3"/>
        <v>232.1</v>
      </c>
    </row>
    <row r="246" spans="1:15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  <c r="O246">
        <f t="shared" si="3"/>
        <v>428.05999999999995</v>
      </c>
    </row>
    <row r="247" spans="1:15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  <c r="O247">
        <f t="shared" si="3"/>
        <v>12383.699999999997</v>
      </c>
    </row>
    <row r="248" spans="1:15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  <c r="O248">
        <f t="shared" si="3"/>
        <v>2044.5600000000027</v>
      </c>
    </row>
    <row r="249" spans="1:15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828.95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  <c r="O249">
        <f t="shared" si="3"/>
        <v>2182.3200000000015</v>
      </c>
    </row>
    <row r="250" spans="1:15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  <c r="O250">
        <f t="shared" si="3"/>
        <v>3637.950000000003</v>
      </c>
    </row>
    <row r="251" spans="1:15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  <c r="O251">
        <f t="shared" si="3"/>
        <v>3181.2100000000019</v>
      </c>
    </row>
    <row r="252" spans="1:15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  <c r="O252">
        <f t="shared" si="3"/>
        <v>4087.1599999999994</v>
      </c>
    </row>
    <row r="253" spans="1:15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  <c r="O253">
        <f t="shared" si="3"/>
        <v>10234.920000000006</v>
      </c>
    </row>
    <row r="254" spans="1:15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  <c r="O254">
        <f t="shared" si="3"/>
        <v>10372.250000000005</v>
      </c>
    </row>
    <row r="255" spans="1:15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  <c r="O255">
        <f t="shared" si="3"/>
        <v>18020.7</v>
      </c>
    </row>
    <row r="256" spans="1:15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  <c r="O256">
        <f t="shared" si="3"/>
        <v>2833.1199999999953</v>
      </c>
    </row>
    <row r="257" spans="1:15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  <c r="O257">
        <f t="shared" si="3"/>
        <v>3237.4399999999987</v>
      </c>
    </row>
    <row r="258" spans="1:15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  <c r="O258">
        <f t="shared" si="3"/>
        <v>8268.2400000000034</v>
      </c>
    </row>
    <row r="259" spans="1:15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  <c r="O259">
        <f t="shared" ref="O259:O322" si="4">(I259-H259)*F259</f>
        <v>631.71999999999946</v>
      </c>
    </row>
    <row r="260" spans="1:15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  <c r="O260">
        <f t="shared" si="4"/>
        <v>4786.3499999999995</v>
      </c>
    </row>
    <row r="261" spans="1:15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  <c r="O261">
        <f t="shared" si="4"/>
        <v>7749.8199999999924</v>
      </c>
    </row>
    <row r="262" spans="1:15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  <c r="O262">
        <f t="shared" si="4"/>
        <v>6082.9599999999982</v>
      </c>
    </row>
    <row r="263" spans="1:15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  <c r="O263">
        <f t="shared" si="4"/>
        <v>6218.09</v>
      </c>
    </row>
    <row r="264" spans="1:15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  <c r="O264">
        <f t="shared" si="4"/>
        <v>17468.980000000003</v>
      </c>
    </row>
    <row r="265" spans="1:15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  <c r="O265">
        <f t="shared" si="4"/>
        <v>7736.5300000000025</v>
      </c>
    </row>
    <row r="266" spans="1:15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4625.5600000000004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  <c r="O266">
        <f t="shared" si="4"/>
        <v>14699.520000000033</v>
      </c>
    </row>
    <row r="267" spans="1:15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  <c r="O267">
        <f t="shared" si="4"/>
        <v>3760.3999999999987</v>
      </c>
    </row>
    <row r="268" spans="1:15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4551.6000000000004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  <c r="O268">
        <f t="shared" si="4"/>
        <v>12741.750000000025</v>
      </c>
    </row>
    <row r="269" spans="1:15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  <c r="O269">
        <f t="shared" si="4"/>
        <v>2936.2799999999997</v>
      </c>
    </row>
    <row r="270" spans="1:15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  <c r="O270">
        <f t="shared" si="4"/>
        <v>13609.749999999998</v>
      </c>
    </row>
    <row r="271" spans="1:15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  <c r="O271">
        <f t="shared" si="4"/>
        <v>2855.2199999999866</v>
      </c>
    </row>
    <row r="272" spans="1:15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  <c r="O272">
        <f t="shared" si="4"/>
        <v>5480.0199999999995</v>
      </c>
    </row>
    <row r="273" spans="1:15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1750.38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  <c r="O273">
        <f t="shared" si="4"/>
        <v>4397.3200000000079</v>
      </c>
    </row>
    <row r="274" spans="1:15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3609.34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  <c r="O274">
        <f t="shared" si="4"/>
        <v>1833.6000000000022</v>
      </c>
    </row>
    <row r="275" spans="1:15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  <c r="O275">
        <f t="shared" si="4"/>
        <v>1696.9499999999982</v>
      </c>
    </row>
    <row r="276" spans="1:15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  <c r="O276">
        <f t="shared" si="4"/>
        <v>9393.3000000000029</v>
      </c>
    </row>
    <row r="277" spans="1:15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  <c r="O277">
        <f t="shared" si="4"/>
        <v>5718.4399999999987</v>
      </c>
    </row>
    <row r="278" spans="1:15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  <c r="O278">
        <f t="shared" si="4"/>
        <v>7461.7200000000103</v>
      </c>
    </row>
    <row r="279" spans="1:15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  <c r="O279">
        <f t="shared" si="4"/>
        <v>1555.8900000000017</v>
      </c>
    </row>
    <row r="280" spans="1:15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  <c r="O280">
        <f t="shared" si="4"/>
        <v>5469.1000000000076</v>
      </c>
    </row>
    <row r="281" spans="1:15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  <c r="O281">
        <f t="shared" si="4"/>
        <v>2036.7600000000002</v>
      </c>
    </row>
    <row r="282" spans="1:15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  <c r="O282">
        <f t="shared" si="4"/>
        <v>855.45000000000073</v>
      </c>
    </row>
    <row r="283" spans="1:15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  <c r="O283">
        <f t="shared" si="4"/>
        <v>3217.9399999999896</v>
      </c>
    </row>
    <row r="284" spans="1:15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  <c r="O284">
        <f t="shared" si="4"/>
        <v>4918.13</v>
      </c>
    </row>
    <row r="285" spans="1:15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  <c r="O285">
        <f t="shared" si="4"/>
        <v>5836.94</v>
      </c>
    </row>
    <row r="286" spans="1:15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  <c r="O286">
        <f t="shared" si="4"/>
        <v>3630.2500000000009</v>
      </c>
    </row>
    <row r="287" spans="1:15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  <c r="O287">
        <f t="shared" si="4"/>
        <v>12518.800000000001</v>
      </c>
    </row>
    <row r="288" spans="1:15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  <c r="O288">
        <f t="shared" si="4"/>
        <v>1236.0399999999991</v>
      </c>
    </row>
    <row r="289" spans="1:15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  <c r="O289">
        <f t="shared" si="4"/>
        <v>15762.860000000004</v>
      </c>
    </row>
    <row r="290" spans="1:15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  <c r="O290">
        <f t="shared" si="4"/>
        <v>631.99999999999818</v>
      </c>
    </row>
    <row r="291" spans="1:15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  <c r="O291">
        <f t="shared" si="4"/>
        <v>6493.5</v>
      </c>
    </row>
    <row r="292" spans="1:15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  <c r="O292">
        <f t="shared" si="4"/>
        <v>3003.5999999999967</v>
      </c>
    </row>
    <row r="293" spans="1:15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  <c r="O293">
        <f t="shared" si="4"/>
        <v>2184.9599999999991</v>
      </c>
    </row>
    <row r="294" spans="1:15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  <c r="O294">
        <f t="shared" si="4"/>
        <v>2839.1999999999989</v>
      </c>
    </row>
    <row r="295" spans="1:15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  <c r="O295">
        <f t="shared" si="4"/>
        <v>8268.659999999998</v>
      </c>
    </row>
    <row r="296" spans="1:15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  <c r="O296">
        <f t="shared" si="4"/>
        <v>1183.5200000000004</v>
      </c>
    </row>
    <row r="297" spans="1:15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  <c r="O297">
        <f t="shared" si="4"/>
        <v>4023.5599999999972</v>
      </c>
    </row>
    <row r="298" spans="1:15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  <c r="O298">
        <f t="shared" si="4"/>
        <v>5753.58</v>
      </c>
    </row>
    <row r="299" spans="1:15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  <c r="O299">
        <f t="shared" si="4"/>
        <v>4827.6199999999953</v>
      </c>
    </row>
    <row r="300" spans="1:15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  <c r="O300">
        <f t="shared" si="4"/>
        <v>1299.3499999999976</v>
      </c>
    </row>
    <row r="301" spans="1:15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  <c r="O301">
        <f t="shared" si="4"/>
        <v>2885.75</v>
      </c>
    </row>
    <row r="302" spans="1:15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  <c r="O302">
        <f t="shared" si="4"/>
        <v>9686.5999999999949</v>
      </c>
    </row>
    <row r="303" spans="1:15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3388.84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  <c r="O303">
        <f t="shared" si="4"/>
        <v>1539.0000000000055</v>
      </c>
    </row>
    <row r="304" spans="1:15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  <c r="O304">
        <f t="shared" si="4"/>
        <v>2813.5199999999986</v>
      </c>
    </row>
    <row r="305" spans="1:15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  <c r="O305">
        <f t="shared" si="4"/>
        <v>6066.8700000000063</v>
      </c>
    </row>
    <row r="306" spans="1:15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  <c r="O306">
        <f t="shared" si="4"/>
        <v>12427.269999999993</v>
      </c>
    </row>
    <row r="307" spans="1:15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  <c r="O307">
        <f t="shared" si="4"/>
        <v>5492.9599999999964</v>
      </c>
    </row>
    <row r="308" spans="1:15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  <c r="O308">
        <f t="shared" si="4"/>
        <v>2469.2500000000064</v>
      </c>
    </row>
    <row r="309" spans="1:15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5037.2700000000004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  <c r="O309">
        <f t="shared" si="4"/>
        <v>1200.3700000000099</v>
      </c>
    </row>
    <row r="310" spans="1:15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  <c r="O310">
        <f t="shared" si="4"/>
        <v>10353.350000000013</v>
      </c>
    </row>
    <row r="311" spans="1:15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  <c r="O311">
        <f t="shared" si="4"/>
        <v>7030.5700000000033</v>
      </c>
    </row>
    <row r="312" spans="1:15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  <c r="O312">
        <f t="shared" si="4"/>
        <v>3351.0000000000036</v>
      </c>
    </row>
    <row r="313" spans="1:15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  <c r="O313">
        <f t="shared" si="4"/>
        <v>971.28000000000065</v>
      </c>
    </row>
    <row r="314" spans="1:15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  <c r="O314">
        <f t="shared" si="4"/>
        <v>2531.9000000000051</v>
      </c>
    </row>
    <row r="315" spans="1:15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  <c r="O315">
        <f t="shared" si="4"/>
        <v>14662.399999999994</v>
      </c>
    </row>
    <row r="316" spans="1:15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  <c r="O316">
        <f t="shared" si="4"/>
        <v>12088.319999999985</v>
      </c>
    </row>
    <row r="317" spans="1:15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  <c r="O317">
        <f t="shared" si="4"/>
        <v>10219</v>
      </c>
    </row>
    <row r="318" spans="1:15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  <c r="O318">
        <f t="shared" si="4"/>
        <v>1145.600000000004</v>
      </c>
    </row>
    <row r="319" spans="1:15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  <c r="O319">
        <f t="shared" si="4"/>
        <v>8808.7199999999993</v>
      </c>
    </row>
    <row r="320" spans="1:15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  <c r="O320">
        <f t="shared" si="4"/>
        <v>4568.75</v>
      </c>
    </row>
    <row r="321" spans="1:15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632.44000000000005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  <c r="O321">
        <f t="shared" si="4"/>
        <v>763.14000000000067</v>
      </c>
    </row>
    <row r="322" spans="1:15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  <c r="O322">
        <f t="shared" si="4"/>
        <v>2749.4200000000023</v>
      </c>
    </row>
    <row r="323" spans="1:15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  <c r="O323">
        <f t="shared" ref="O323:O386" si="5">(I323-H323)*F323</f>
        <v>197.86</v>
      </c>
    </row>
    <row r="324" spans="1:15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  <c r="O324">
        <f t="shared" si="5"/>
        <v>14707.350000000002</v>
      </c>
    </row>
    <row r="325" spans="1:15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  <c r="O325">
        <f t="shared" si="5"/>
        <v>13887.679999999993</v>
      </c>
    </row>
    <row r="326" spans="1:15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1170.1600000000001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  <c r="O326">
        <f t="shared" si="5"/>
        <v>10994.040000000005</v>
      </c>
    </row>
    <row r="327" spans="1:15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  <c r="O327">
        <f t="shared" si="5"/>
        <v>4764.3700000000008</v>
      </c>
    </row>
    <row r="328" spans="1:15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  <c r="O328">
        <f t="shared" si="5"/>
        <v>398.58000000000038</v>
      </c>
    </row>
    <row r="329" spans="1:15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  <c r="O329">
        <f t="shared" si="5"/>
        <v>4174.5200000000004</v>
      </c>
    </row>
    <row r="330" spans="1:15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  <c r="O330">
        <f t="shared" si="5"/>
        <v>12461.969999999998</v>
      </c>
    </row>
    <row r="331" spans="1:15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  <c r="O331">
        <f t="shared" si="5"/>
        <v>5200.8000000000011</v>
      </c>
    </row>
    <row r="332" spans="1:15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  <c r="O332">
        <f t="shared" si="5"/>
        <v>6619.2000000000025</v>
      </c>
    </row>
    <row r="333" spans="1:15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  <c r="O333">
        <f t="shared" si="5"/>
        <v>4960.8500000000085</v>
      </c>
    </row>
    <row r="334" spans="1:15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  <c r="O334">
        <f t="shared" si="5"/>
        <v>654.39999999999964</v>
      </c>
    </row>
    <row r="335" spans="1:15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  <c r="O335">
        <f t="shared" si="5"/>
        <v>12562.800000000007</v>
      </c>
    </row>
    <row r="336" spans="1:15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  <c r="O336">
        <f t="shared" si="5"/>
        <v>5164.6399999999994</v>
      </c>
    </row>
    <row r="337" spans="1:15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3842.55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  <c r="O337">
        <f t="shared" si="5"/>
        <v>9875.6000000000076</v>
      </c>
    </row>
    <row r="338" spans="1:15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  <c r="O338">
        <f t="shared" si="5"/>
        <v>1038.24</v>
      </c>
    </row>
    <row r="339" spans="1:15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  <c r="O339">
        <f t="shared" si="5"/>
        <v>1704.9599999999991</v>
      </c>
    </row>
    <row r="340" spans="1:15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  <c r="O340">
        <f t="shared" si="5"/>
        <v>12199.500000000016</v>
      </c>
    </row>
    <row r="341" spans="1:15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  <c r="O341">
        <f t="shared" si="5"/>
        <v>6264.7000000000007</v>
      </c>
    </row>
    <row r="342" spans="1:15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  <c r="O342">
        <f t="shared" si="5"/>
        <v>13740.72</v>
      </c>
    </row>
    <row r="343" spans="1:15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  <c r="O343">
        <f t="shared" si="5"/>
        <v>11929.279999999999</v>
      </c>
    </row>
    <row r="344" spans="1:15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  <c r="O344">
        <f t="shared" si="5"/>
        <v>3051.8999999999869</v>
      </c>
    </row>
    <row r="345" spans="1:15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  <c r="O345">
        <f t="shared" si="5"/>
        <v>761.40000000000009</v>
      </c>
    </row>
    <row r="346" spans="1:15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  <c r="O346">
        <f t="shared" si="5"/>
        <v>1756.7700000000023</v>
      </c>
    </row>
    <row r="347" spans="1:15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  <c r="O347">
        <f t="shared" si="5"/>
        <v>70.380000000000109</v>
      </c>
    </row>
    <row r="348" spans="1:15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  <c r="O348">
        <f t="shared" si="5"/>
        <v>1662.239999999998</v>
      </c>
    </row>
    <row r="349" spans="1:15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  <c r="O349">
        <f t="shared" si="5"/>
        <v>11924.399999999998</v>
      </c>
    </row>
    <row r="350" spans="1:15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  <c r="O350">
        <f t="shared" si="5"/>
        <v>1435.3500000000008</v>
      </c>
    </row>
    <row r="351" spans="1:15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  <c r="O351">
        <f t="shared" si="5"/>
        <v>14602.800000000016</v>
      </c>
    </row>
    <row r="352" spans="1:15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  <c r="O352">
        <f t="shared" si="5"/>
        <v>2943.7600000000011</v>
      </c>
    </row>
    <row r="353" spans="1:15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  <c r="O353">
        <f t="shared" si="5"/>
        <v>3286.3499999999967</v>
      </c>
    </row>
    <row r="354" spans="1:15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  <c r="O354">
        <f t="shared" si="5"/>
        <v>10047.179999999997</v>
      </c>
    </row>
    <row r="355" spans="1:15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  <c r="O355">
        <f t="shared" si="5"/>
        <v>15443.549999999992</v>
      </c>
    </row>
    <row r="356" spans="1:15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3255.53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  <c r="O356">
        <f t="shared" si="5"/>
        <v>218.82000000000062</v>
      </c>
    </row>
    <row r="357" spans="1:15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  <c r="O357">
        <f t="shared" si="5"/>
        <v>3002.880000000001</v>
      </c>
    </row>
    <row r="358" spans="1:15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  <c r="O358">
        <f t="shared" si="5"/>
        <v>3484.9499999999994</v>
      </c>
    </row>
    <row r="359" spans="1:15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  <c r="O359">
        <f t="shared" si="5"/>
        <v>14791.480000000003</v>
      </c>
    </row>
    <row r="360" spans="1:15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  <c r="O360">
        <f t="shared" si="5"/>
        <v>9820.5899999999983</v>
      </c>
    </row>
    <row r="361" spans="1:15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  <c r="O361">
        <f t="shared" si="5"/>
        <v>19419.119999999988</v>
      </c>
    </row>
    <row r="362" spans="1:15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  <c r="O362">
        <f t="shared" si="5"/>
        <v>284.32000000000698</v>
      </c>
    </row>
    <row r="363" spans="1:15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2646.53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  <c r="O363">
        <f t="shared" si="5"/>
        <v>12868.100000000011</v>
      </c>
    </row>
    <row r="364" spans="1:15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  <c r="O364">
        <f t="shared" si="5"/>
        <v>13364.7</v>
      </c>
    </row>
    <row r="365" spans="1:15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  <c r="O365">
        <f t="shared" si="5"/>
        <v>402.199999999998</v>
      </c>
    </row>
    <row r="366" spans="1:15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4474.51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  <c r="O366">
        <f t="shared" si="5"/>
        <v>8760.1400000000249</v>
      </c>
    </row>
    <row r="367" spans="1:15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  <c r="O367">
        <f t="shared" si="5"/>
        <v>1985.579999999999</v>
      </c>
    </row>
    <row r="368" spans="1:15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  <c r="O368">
        <f t="shared" si="5"/>
        <v>1437.9500000000007</v>
      </c>
    </row>
    <row r="369" spans="1:15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  <c r="O369">
        <f t="shared" si="5"/>
        <v>9520.119999999999</v>
      </c>
    </row>
    <row r="370" spans="1:15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5088.0200000000004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  <c r="O370">
        <f t="shared" si="5"/>
        <v>6173.3100000000341</v>
      </c>
    </row>
    <row r="371" spans="1:15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  <c r="O371">
        <f t="shared" si="5"/>
        <v>8003.2600000000111</v>
      </c>
    </row>
    <row r="372" spans="1:15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  <c r="O372">
        <f t="shared" si="5"/>
        <v>6315.8400000000047</v>
      </c>
    </row>
    <row r="373" spans="1:15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  <c r="O373">
        <f t="shared" si="5"/>
        <v>8595</v>
      </c>
    </row>
    <row r="374" spans="1:15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  <c r="O374">
        <f t="shared" si="5"/>
        <v>2027.91</v>
      </c>
    </row>
    <row r="375" spans="1:15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  <c r="O375">
        <f t="shared" si="5"/>
        <v>2219.6000000000004</v>
      </c>
    </row>
    <row r="376" spans="1:15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  <c r="O376">
        <f t="shared" si="5"/>
        <v>447.29999999999563</v>
      </c>
    </row>
    <row r="377" spans="1:15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  <c r="O377">
        <f t="shared" si="5"/>
        <v>2654.2799999999997</v>
      </c>
    </row>
    <row r="378" spans="1:15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  <c r="O378">
        <f t="shared" si="5"/>
        <v>13345.519999999995</v>
      </c>
    </row>
    <row r="379" spans="1:15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  <c r="O379">
        <f t="shared" si="5"/>
        <v>7590.4400000000096</v>
      </c>
    </row>
    <row r="380" spans="1:15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  <c r="O380">
        <f t="shared" si="5"/>
        <v>1457.1999999999989</v>
      </c>
    </row>
    <row r="381" spans="1:15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  <c r="O381">
        <f t="shared" si="5"/>
        <v>7505.2000000000053</v>
      </c>
    </row>
    <row r="382" spans="1:15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  <c r="O382">
        <f t="shared" si="5"/>
        <v>5854.8799999999992</v>
      </c>
    </row>
    <row r="383" spans="1:15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  <c r="O383">
        <f t="shared" si="5"/>
        <v>383.82000000000153</v>
      </c>
    </row>
    <row r="384" spans="1:15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  <c r="O384">
        <f t="shared" si="5"/>
        <v>6427.5200000000041</v>
      </c>
    </row>
    <row r="385" spans="1:15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  <c r="O385">
        <f t="shared" si="5"/>
        <v>5381.0399999999954</v>
      </c>
    </row>
    <row r="386" spans="1:15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  <c r="O386">
        <f t="shared" si="5"/>
        <v>318.42000000000098</v>
      </c>
    </row>
    <row r="387" spans="1:15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  <c r="O387">
        <f t="shared" ref="O387:O450" si="6">(I387-H387)*F387</f>
        <v>2796.7499999999973</v>
      </c>
    </row>
    <row r="388" spans="1:15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  <c r="O388">
        <f t="shared" si="6"/>
        <v>2160.3999999999996</v>
      </c>
    </row>
    <row r="389" spans="1:15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  <c r="O389">
        <f t="shared" si="6"/>
        <v>4347.1999999999971</v>
      </c>
    </row>
    <row r="390" spans="1:15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  <c r="O390">
        <f t="shared" si="6"/>
        <v>497.96999999999935</v>
      </c>
    </row>
    <row r="391" spans="1:15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  <c r="O391">
        <f t="shared" si="6"/>
        <v>2200.0200000000013</v>
      </c>
    </row>
    <row r="392" spans="1:15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  <c r="O392">
        <f t="shared" si="6"/>
        <v>1075.1999999999998</v>
      </c>
    </row>
    <row r="393" spans="1:15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  <c r="O393">
        <f t="shared" si="6"/>
        <v>9998.5999999999876</v>
      </c>
    </row>
    <row r="394" spans="1:15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  <c r="O394">
        <f t="shared" si="6"/>
        <v>66.419999999998254</v>
      </c>
    </row>
    <row r="395" spans="1:15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533.58000000000004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  <c r="O395">
        <f t="shared" si="6"/>
        <v>15501.600000000002</v>
      </c>
    </row>
    <row r="396" spans="1:15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  <c r="O396">
        <f t="shared" si="6"/>
        <v>237.62999999999943</v>
      </c>
    </row>
    <row r="397" spans="1:15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  <c r="O397">
        <f t="shared" si="6"/>
        <v>19366.620000000006</v>
      </c>
    </row>
    <row r="398" spans="1:15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  <c r="O398">
        <f t="shared" si="6"/>
        <v>614.6800000000012</v>
      </c>
    </row>
    <row r="399" spans="1:15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  <c r="O399">
        <f t="shared" si="6"/>
        <v>20553.14</v>
      </c>
    </row>
    <row r="400" spans="1:15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  <c r="O400">
        <f t="shared" si="6"/>
        <v>5258.9499999999989</v>
      </c>
    </row>
    <row r="401" spans="1:15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  <c r="O401">
        <f t="shared" si="6"/>
        <v>339.83999999999651</v>
      </c>
    </row>
    <row r="402" spans="1:15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  <c r="O402">
        <f t="shared" si="6"/>
        <v>1792.239999999998</v>
      </c>
    </row>
    <row r="403" spans="1:15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  <c r="O403">
        <f t="shared" si="6"/>
        <v>1062.56</v>
      </c>
    </row>
    <row r="404" spans="1:15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  <c r="O404">
        <f t="shared" si="6"/>
        <v>2358.0700000000006</v>
      </c>
    </row>
    <row r="405" spans="1:15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  <c r="O405">
        <f t="shared" si="6"/>
        <v>15824.770000000011</v>
      </c>
    </row>
    <row r="406" spans="1:15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1697.19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  <c r="O406">
        <f t="shared" si="6"/>
        <v>8817.3300000000036</v>
      </c>
    </row>
    <row r="407" spans="1:15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  <c r="O407">
        <f t="shared" si="6"/>
        <v>1235.0499999999988</v>
      </c>
    </row>
    <row r="408" spans="1:15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  <c r="O408">
        <f t="shared" si="6"/>
        <v>5267.8399999999965</v>
      </c>
    </row>
    <row r="409" spans="1:15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  <c r="O409">
        <f t="shared" si="6"/>
        <v>8724.7599999999984</v>
      </c>
    </row>
    <row r="410" spans="1:15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  <c r="O410">
        <f t="shared" si="6"/>
        <v>2064.4199999999983</v>
      </c>
    </row>
    <row r="411" spans="1:15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3181.23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  <c r="O411">
        <f t="shared" si="6"/>
        <v>15592.150000000009</v>
      </c>
    </row>
    <row r="412" spans="1:15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  <c r="O412">
        <f t="shared" si="6"/>
        <v>7685.2599999999984</v>
      </c>
    </row>
    <row r="413" spans="1:15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  <c r="O413">
        <f t="shared" si="6"/>
        <v>129.32999999999993</v>
      </c>
    </row>
    <row r="414" spans="1:15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  <c r="O414">
        <f t="shared" si="6"/>
        <v>9330.1999999999953</v>
      </c>
    </row>
    <row r="415" spans="1:15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  <c r="O415">
        <f t="shared" si="6"/>
        <v>1350.1399999999976</v>
      </c>
    </row>
    <row r="416" spans="1:15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851.35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  <c r="O416">
        <f t="shared" si="6"/>
        <v>6781.9200000000037</v>
      </c>
    </row>
    <row r="417" spans="1:15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  <c r="O417">
        <f t="shared" si="6"/>
        <v>2913.900000000001</v>
      </c>
    </row>
    <row r="418" spans="1:15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  <c r="O418">
        <f t="shared" si="6"/>
        <v>3733.7299999999977</v>
      </c>
    </row>
    <row r="419" spans="1:15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  <c r="O419">
        <f t="shared" si="6"/>
        <v>735</v>
      </c>
    </row>
    <row r="420" spans="1:15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  <c r="O420">
        <f t="shared" si="6"/>
        <v>1177.44</v>
      </c>
    </row>
    <row r="421" spans="1:15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  <c r="O421">
        <f t="shared" si="6"/>
        <v>1684.7100000000005</v>
      </c>
    </row>
    <row r="422" spans="1:15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  <c r="O422">
        <f t="shared" si="6"/>
        <v>2509.7999999999984</v>
      </c>
    </row>
    <row r="423" spans="1:15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  <c r="O423">
        <f t="shared" si="6"/>
        <v>9351.5699999999924</v>
      </c>
    </row>
    <row r="424" spans="1:15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  <c r="O424">
        <f t="shared" si="6"/>
        <v>2741.9000000000005</v>
      </c>
    </row>
    <row r="425" spans="1:15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  <c r="O425">
        <f t="shared" si="6"/>
        <v>1093.6200000000108</v>
      </c>
    </row>
    <row r="426" spans="1:15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  <c r="O426">
        <f t="shared" si="6"/>
        <v>1736.2800000000007</v>
      </c>
    </row>
    <row r="427" spans="1:15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  <c r="O427">
        <f t="shared" si="6"/>
        <v>23441.110000000015</v>
      </c>
    </row>
    <row r="428" spans="1:15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  <c r="O428">
        <f t="shared" si="6"/>
        <v>1824.5</v>
      </c>
    </row>
    <row r="429" spans="1:15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  <c r="O429">
        <f t="shared" si="6"/>
        <v>1655.28</v>
      </c>
    </row>
    <row r="430" spans="1:15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  <c r="O430">
        <f t="shared" si="6"/>
        <v>5900.8799999999992</v>
      </c>
    </row>
    <row r="431" spans="1:15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  <c r="O431">
        <f t="shared" si="6"/>
        <v>2517.0999999999958</v>
      </c>
    </row>
    <row r="432" spans="1:15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  <c r="O432">
        <f t="shared" si="6"/>
        <v>226.85999999999996</v>
      </c>
    </row>
    <row r="433" spans="1:15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  <c r="O433">
        <f t="shared" si="6"/>
        <v>12011.789999999997</v>
      </c>
    </row>
    <row r="434" spans="1:15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  <c r="O434">
        <f t="shared" si="6"/>
        <v>990.25000000000091</v>
      </c>
    </row>
    <row r="435" spans="1:15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  <c r="O435">
        <f t="shared" si="6"/>
        <v>22857.039999999997</v>
      </c>
    </row>
    <row r="436" spans="1:15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4761.18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  <c r="O436">
        <f t="shared" si="6"/>
        <v>2023.7700000000159</v>
      </c>
    </row>
    <row r="437" spans="1:15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  <c r="O437">
        <f t="shared" si="6"/>
        <v>5506.1999999999989</v>
      </c>
    </row>
    <row r="438" spans="1:15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  <c r="O438">
        <f t="shared" si="6"/>
        <v>5388.7499999999927</v>
      </c>
    </row>
    <row r="439" spans="1:15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  <c r="O439">
        <f t="shared" si="6"/>
        <v>5640.3200000000015</v>
      </c>
    </row>
    <row r="440" spans="1:15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  <c r="O440">
        <f t="shared" si="6"/>
        <v>11432.839999999993</v>
      </c>
    </row>
    <row r="441" spans="1:15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1703.64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  <c r="O441">
        <f t="shared" si="6"/>
        <v>5202.0000000000064</v>
      </c>
    </row>
    <row r="442" spans="1:15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2715.05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  <c r="O442">
        <f t="shared" si="6"/>
        <v>5679.8400000000183</v>
      </c>
    </row>
    <row r="443" spans="1:15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  <c r="O443">
        <f t="shared" si="6"/>
        <v>17263.570000000018</v>
      </c>
    </row>
    <row r="444" spans="1:15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  <c r="O444">
        <f t="shared" si="6"/>
        <v>6378.4999999999964</v>
      </c>
    </row>
    <row r="445" spans="1:15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  <c r="O445">
        <f t="shared" si="6"/>
        <v>2134.3000000000006</v>
      </c>
    </row>
    <row r="446" spans="1:15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2796.88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  <c r="O446">
        <f t="shared" si="6"/>
        <v>1300.7400000000043</v>
      </c>
    </row>
    <row r="447" spans="1:15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3702.84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  <c r="O447">
        <f t="shared" si="6"/>
        <v>4279.3800000000138</v>
      </c>
    </row>
    <row r="448" spans="1:15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  <c r="O448">
        <f t="shared" si="6"/>
        <v>697.82000000000335</v>
      </c>
    </row>
    <row r="449" spans="1:15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  <c r="O449">
        <f t="shared" si="6"/>
        <v>1644.0000000000055</v>
      </c>
    </row>
    <row r="450" spans="1:15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  <c r="O450">
        <f t="shared" si="6"/>
        <v>11596.849999999997</v>
      </c>
    </row>
    <row r="451" spans="1:15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  <c r="O451">
        <f t="shared" ref="O451:O514" si="7">(I451-H451)*F451</f>
        <v>11175.5</v>
      </c>
    </row>
    <row r="452" spans="1:15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  <c r="O452">
        <f t="shared" si="7"/>
        <v>2109.9400000000005</v>
      </c>
    </row>
    <row r="453" spans="1:15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  <c r="O453">
        <f t="shared" si="7"/>
        <v>5970.9999999999964</v>
      </c>
    </row>
    <row r="454" spans="1:15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  <c r="O454">
        <f t="shared" si="7"/>
        <v>3199.1999999999825</v>
      </c>
    </row>
    <row r="455" spans="1:15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  <c r="O455">
        <f t="shared" si="7"/>
        <v>6814.6200000000099</v>
      </c>
    </row>
    <row r="456" spans="1:15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2191.19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  <c r="O456">
        <f t="shared" si="7"/>
        <v>282.40000000000236</v>
      </c>
    </row>
    <row r="457" spans="1:15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  <c r="O457">
        <f t="shared" si="7"/>
        <v>16086.699999999997</v>
      </c>
    </row>
    <row r="458" spans="1:15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  <c r="O458">
        <f t="shared" si="7"/>
        <v>3738.02</v>
      </c>
    </row>
    <row r="459" spans="1:15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  <c r="O459">
        <f t="shared" si="7"/>
        <v>5450.1700000000028</v>
      </c>
    </row>
    <row r="460" spans="1:15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  <c r="O460">
        <f t="shared" si="7"/>
        <v>9294.1799999999985</v>
      </c>
    </row>
    <row r="461" spans="1:15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  <c r="O461">
        <f t="shared" si="7"/>
        <v>5077.17</v>
      </c>
    </row>
    <row r="462" spans="1:15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  <c r="O462">
        <f t="shared" si="7"/>
        <v>5822.2999999999993</v>
      </c>
    </row>
    <row r="463" spans="1:15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  <c r="O463">
        <f t="shared" si="7"/>
        <v>4652.0999999999995</v>
      </c>
    </row>
    <row r="464" spans="1:15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  <c r="O464">
        <f t="shared" si="7"/>
        <v>1654.7999999999975</v>
      </c>
    </row>
    <row r="465" spans="1:15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  <c r="O465">
        <f t="shared" si="7"/>
        <v>7692.16</v>
      </c>
    </row>
    <row r="466" spans="1:15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  <c r="O466">
        <f t="shared" si="7"/>
        <v>69.840000000000146</v>
      </c>
    </row>
    <row r="467" spans="1:15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  <c r="O467">
        <f t="shared" si="7"/>
        <v>5197.6799999999985</v>
      </c>
    </row>
    <row r="468" spans="1:15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  <c r="O468">
        <f t="shared" si="7"/>
        <v>7436.5200000000168</v>
      </c>
    </row>
    <row r="469" spans="1:15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  <c r="O469">
        <f t="shared" si="7"/>
        <v>8113.6800000000039</v>
      </c>
    </row>
    <row r="470" spans="1:15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  <c r="O470">
        <f t="shared" si="7"/>
        <v>5181.3299999999972</v>
      </c>
    </row>
    <row r="471" spans="1:15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  <c r="O471">
        <f t="shared" si="7"/>
        <v>5419.5199999999986</v>
      </c>
    </row>
    <row r="472" spans="1:15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  <c r="O472">
        <f t="shared" si="7"/>
        <v>16442.930000000008</v>
      </c>
    </row>
    <row r="473" spans="1:15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  <c r="O473">
        <f t="shared" si="7"/>
        <v>4173.2999999999984</v>
      </c>
    </row>
    <row r="474" spans="1:15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  <c r="O474">
        <f t="shared" si="7"/>
        <v>14679.349999999995</v>
      </c>
    </row>
    <row r="475" spans="1:15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  <c r="O475">
        <f t="shared" si="7"/>
        <v>12510.940000000002</v>
      </c>
    </row>
    <row r="476" spans="1:15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  <c r="O476">
        <f t="shared" si="7"/>
        <v>6236.6399999999994</v>
      </c>
    </row>
    <row r="477" spans="1:15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  <c r="O477">
        <f t="shared" si="7"/>
        <v>1888.5</v>
      </c>
    </row>
    <row r="478" spans="1:15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  <c r="O478">
        <f t="shared" si="7"/>
        <v>13522.520000000008</v>
      </c>
    </row>
    <row r="479" spans="1:15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  <c r="O479">
        <f t="shared" si="7"/>
        <v>18328.319999999992</v>
      </c>
    </row>
    <row r="480" spans="1:15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360.54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  <c r="O480">
        <f t="shared" si="7"/>
        <v>12933.930000000002</v>
      </c>
    </row>
    <row r="481" spans="1:15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  <c r="O481">
        <f t="shared" si="7"/>
        <v>18982.829999999994</v>
      </c>
    </row>
    <row r="482" spans="1:15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  <c r="O482">
        <f t="shared" si="7"/>
        <v>12448.799999999996</v>
      </c>
    </row>
    <row r="483" spans="1:15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  <c r="O483">
        <f t="shared" si="7"/>
        <v>1705.200000000001</v>
      </c>
    </row>
    <row r="484" spans="1:15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  <c r="O484">
        <f t="shared" si="7"/>
        <v>2377.5600000000013</v>
      </c>
    </row>
    <row r="485" spans="1:15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  <c r="O485">
        <f t="shared" si="7"/>
        <v>2961.1399999999994</v>
      </c>
    </row>
    <row r="486" spans="1:15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  <c r="O486">
        <f t="shared" si="7"/>
        <v>317.5600000000004</v>
      </c>
    </row>
    <row r="487" spans="1:15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  <c r="O487">
        <f t="shared" si="7"/>
        <v>2348.5799999999922</v>
      </c>
    </row>
    <row r="488" spans="1:15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  <c r="O488">
        <f t="shared" si="7"/>
        <v>544.76000000000022</v>
      </c>
    </row>
    <row r="489" spans="1:15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  <c r="O489">
        <f t="shared" si="7"/>
        <v>1344.7200000000007</v>
      </c>
    </row>
    <row r="490" spans="1:15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  <c r="O490">
        <f t="shared" si="7"/>
        <v>4277.8799999999892</v>
      </c>
    </row>
    <row r="491" spans="1:15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  <c r="O491">
        <f t="shared" si="7"/>
        <v>10120.949999999997</v>
      </c>
    </row>
    <row r="492" spans="1:15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  <c r="O492">
        <f t="shared" si="7"/>
        <v>7238.5499999999956</v>
      </c>
    </row>
    <row r="493" spans="1:15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  <c r="O493">
        <f t="shared" si="7"/>
        <v>2894.08</v>
      </c>
    </row>
    <row r="494" spans="1:15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779.33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  <c r="O494">
        <f t="shared" si="7"/>
        <v>3474.7300000000005</v>
      </c>
    </row>
    <row r="495" spans="1:15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  <c r="O495">
        <f t="shared" si="7"/>
        <v>16552.929999999997</v>
      </c>
    </row>
    <row r="496" spans="1:15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  <c r="O496">
        <f t="shared" si="7"/>
        <v>7082.1600000000017</v>
      </c>
    </row>
    <row r="497" spans="1:15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  <c r="O497">
        <f t="shared" si="7"/>
        <v>13572.399999999998</v>
      </c>
    </row>
    <row r="498" spans="1:15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  <c r="O498">
        <f t="shared" si="7"/>
        <v>4248.7199999999939</v>
      </c>
    </row>
    <row r="499" spans="1:15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  <c r="O499">
        <f t="shared" si="7"/>
        <v>2497.9500000000012</v>
      </c>
    </row>
    <row r="500" spans="1:15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  <c r="O500">
        <f t="shared" si="7"/>
        <v>803.24000000000274</v>
      </c>
    </row>
    <row r="501" spans="1:15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  <c r="O501">
        <f t="shared" si="7"/>
        <v>6027.6900000000023</v>
      </c>
    </row>
    <row r="502" spans="1:15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  <c r="O502">
        <f t="shared" si="7"/>
        <v>350.70999999999992</v>
      </c>
    </row>
    <row r="503" spans="1:15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  <c r="O503">
        <f t="shared" si="7"/>
        <v>11494.079999999991</v>
      </c>
    </row>
    <row r="504" spans="1:15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  <c r="O504">
        <f t="shared" si="7"/>
        <v>1893.5700000000015</v>
      </c>
    </row>
    <row r="505" spans="1:15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4257.5200000000004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  <c r="O505">
        <f t="shared" si="7"/>
        <v>2297.2000000000044</v>
      </c>
    </row>
    <row r="506" spans="1:15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  <c r="O506">
        <f t="shared" si="7"/>
        <v>1284.6000000000004</v>
      </c>
    </row>
    <row r="507" spans="1:15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1308.44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  <c r="O507">
        <f t="shared" si="7"/>
        <v>432.12000000000307</v>
      </c>
    </row>
    <row r="508" spans="1:15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  <c r="O508">
        <f t="shared" si="7"/>
        <v>3004.7999999999956</v>
      </c>
    </row>
    <row r="509" spans="1:15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  <c r="O509">
        <f t="shared" si="7"/>
        <v>10963.079999999991</v>
      </c>
    </row>
    <row r="510" spans="1:15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  <c r="O510">
        <f t="shared" si="7"/>
        <v>11922.960000000005</v>
      </c>
    </row>
    <row r="511" spans="1:15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2908.09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  <c r="O511">
        <f t="shared" si="7"/>
        <v>12917.470000000008</v>
      </c>
    </row>
    <row r="512" spans="1:15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  <c r="O512">
        <f t="shared" si="7"/>
        <v>11613.230000000007</v>
      </c>
    </row>
    <row r="513" spans="1:15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  <c r="O513">
        <f t="shared" si="7"/>
        <v>4403.16</v>
      </c>
    </row>
    <row r="514" spans="1:15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  <c r="O514">
        <f t="shared" si="7"/>
        <v>6107.2200000000148</v>
      </c>
    </row>
    <row r="515" spans="1:15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  <c r="O515">
        <f t="shared" ref="O515:O578" si="8">(I515-H515)*F515</f>
        <v>5330.1</v>
      </c>
    </row>
    <row r="516" spans="1:15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  <c r="O516">
        <f t="shared" si="8"/>
        <v>2421.6699999999992</v>
      </c>
    </row>
    <row r="517" spans="1:15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  <c r="O517">
        <f t="shared" si="8"/>
        <v>4565.5999999999913</v>
      </c>
    </row>
    <row r="518" spans="1:15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  <c r="O518">
        <f t="shared" si="8"/>
        <v>2297.9599999999982</v>
      </c>
    </row>
    <row r="519" spans="1:15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  <c r="O519">
        <f t="shared" si="8"/>
        <v>513.39999999999691</v>
      </c>
    </row>
    <row r="520" spans="1:15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  <c r="O520">
        <f t="shared" si="8"/>
        <v>2419.5499999999993</v>
      </c>
    </row>
    <row r="521" spans="1:15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  <c r="O521">
        <f t="shared" si="8"/>
        <v>16056.000000000007</v>
      </c>
    </row>
    <row r="522" spans="1:15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  <c r="O522">
        <f t="shared" si="8"/>
        <v>6896.7999999999865</v>
      </c>
    </row>
    <row r="523" spans="1:15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  <c r="O523">
        <f t="shared" si="8"/>
        <v>1380.1100000000042</v>
      </c>
    </row>
    <row r="524" spans="1:15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  <c r="O524">
        <f t="shared" si="8"/>
        <v>656.66999999999962</v>
      </c>
    </row>
    <row r="525" spans="1:15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  <c r="O525">
        <f t="shared" si="8"/>
        <v>3401.0999999999967</v>
      </c>
    </row>
    <row r="526" spans="1:15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  <c r="O526">
        <f t="shared" si="8"/>
        <v>12155.399999999994</v>
      </c>
    </row>
    <row r="527" spans="1:15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  <c r="O527">
        <f t="shared" si="8"/>
        <v>7733.8499999999876</v>
      </c>
    </row>
    <row r="528" spans="1:15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  <c r="O528">
        <f t="shared" si="8"/>
        <v>15845.619999999992</v>
      </c>
    </row>
    <row r="529" spans="1:15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  <c r="O529">
        <f t="shared" si="8"/>
        <v>8303.57</v>
      </c>
    </row>
    <row r="530" spans="1:15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  <c r="O530">
        <f t="shared" si="8"/>
        <v>1642.81</v>
      </c>
    </row>
    <row r="531" spans="1:15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  <c r="O531">
        <f t="shared" si="8"/>
        <v>20566.14</v>
      </c>
    </row>
    <row r="532" spans="1:15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820.37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  <c r="O532">
        <f t="shared" si="8"/>
        <v>4185.7200000000012</v>
      </c>
    </row>
    <row r="533" spans="1:15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  <c r="O533">
        <f t="shared" si="8"/>
        <v>5215.5200000000013</v>
      </c>
    </row>
    <row r="534" spans="1:15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  <c r="O534">
        <f t="shared" si="8"/>
        <v>5846.579999999999</v>
      </c>
    </row>
    <row r="535" spans="1:15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  <c r="O535">
        <f t="shared" si="8"/>
        <v>1631.25</v>
      </c>
    </row>
    <row r="536" spans="1:15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  <c r="O536">
        <f t="shared" si="8"/>
        <v>1431.9999999999982</v>
      </c>
    </row>
    <row r="537" spans="1:15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1543.69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  <c r="O537">
        <f t="shared" si="8"/>
        <v>5326.7500000000036</v>
      </c>
    </row>
    <row r="538" spans="1:15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  <c r="O538">
        <f t="shared" si="8"/>
        <v>2301.5999999999995</v>
      </c>
    </row>
    <row r="539" spans="1:15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4432.3500000000004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  <c r="O539">
        <f t="shared" si="8"/>
        <v>16241.40000000002</v>
      </c>
    </row>
    <row r="540" spans="1:15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  <c r="O540">
        <f t="shared" si="8"/>
        <v>671.51999999999953</v>
      </c>
    </row>
    <row r="541" spans="1:15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  <c r="O541">
        <f t="shared" si="8"/>
        <v>1354.3200000000088</v>
      </c>
    </row>
    <row r="542" spans="1:15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  <c r="O542">
        <f t="shared" si="8"/>
        <v>10857.279999999999</v>
      </c>
    </row>
    <row r="543" spans="1:15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  <c r="O543">
        <f t="shared" si="8"/>
        <v>5141.760000000002</v>
      </c>
    </row>
    <row r="544" spans="1:15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  <c r="O544">
        <f t="shared" si="8"/>
        <v>7286.7600000000029</v>
      </c>
    </row>
    <row r="545" spans="1:15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  <c r="O545">
        <f t="shared" si="8"/>
        <v>2071.8499999999995</v>
      </c>
    </row>
    <row r="546" spans="1:15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  <c r="O546">
        <f t="shared" si="8"/>
        <v>15675.120000000003</v>
      </c>
    </row>
    <row r="547" spans="1:15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381.92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  <c r="O547">
        <f t="shared" si="8"/>
        <v>6387.6</v>
      </c>
    </row>
    <row r="548" spans="1:15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3045.94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  <c r="O548">
        <f t="shared" si="8"/>
        <v>15837.750000000013</v>
      </c>
    </row>
    <row r="549" spans="1:15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  <c r="O549">
        <f t="shared" si="8"/>
        <v>2687.3599999999924</v>
      </c>
    </row>
    <row r="550" spans="1:15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  <c r="O550">
        <f t="shared" si="8"/>
        <v>11492.409999999991</v>
      </c>
    </row>
    <row r="551" spans="1:15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  <c r="O551">
        <f t="shared" si="8"/>
        <v>3260.9400000000028</v>
      </c>
    </row>
    <row r="552" spans="1:15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  <c r="O552">
        <f t="shared" si="8"/>
        <v>194.48000000000047</v>
      </c>
    </row>
    <row r="553" spans="1:15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  <c r="O553">
        <f t="shared" si="8"/>
        <v>3565.5600000000031</v>
      </c>
    </row>
    <row r="554" spans="1:15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  <c r="O554">
        <f t="shared" si="8"/>
        <v>11315.220000000001</v>
      </c>
    </row>
    <row r="555" spans="1:15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  <c r="O555">
        <f t="shared" si="8"/>
        <v>8241.1200000000026</v>
      </c>
    </row>
    <row r="556" spans="1:15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759.32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  <c r="O556">
        <f t="shared" si="8"/>
        <v>5044.1600000000017</v>
      </c>
    </row>
    <row r="557" spans="1:15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  <c r="O557">
        <f t="shared" si="8"/>
        <v>22464.120000000003</v>
      </c>
    </row>
    <row r="558" spans="1:15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  <c r="O558">
        <f t="shared" si="8"/>
        <v>16582.32</v>
      </c>
    </row>
    <row r="559" spans="1:15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  <c r="O559">
        <f t="shared" si="8"/>
        <v>1462.41</v>
      </c>
    </row>
    <row r="560" spans="1:15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  <c r="O560">
        <f t="shared" si="8"/>
        <v>4385.1599999999844</v>
      </c>
    </row>
    <row r="561" spans="1:15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  <c r="O561">
        <f t="shared" si="8"/>
        <v>8089.4399999999987</v>
      </c>
    </row>
    <row r="562" spans="1:15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  <c r="O562">
        <f t="shared" si="8"/>
        <v>17250.100000000002</v>
      </c>
    </row>
    <row r="563" spans="1:15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  <c r="O563">
        <f t="shared" si="8"/>
        <v>1652.28</v>
      </c>
    </row>
    <row r="564" spans="1:15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  <c r="O564">
        <f t="shared" si="8"/>
        <v>14965.740000000003</v>
      </c>
    </row>
    <row r="565" spans="1:15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  <c r="O565">
        <f t="shared" si="8"/>
        <v>2038.35</v>
      </c>
    </row>
    <row r="566" spans="1:15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3759.01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  <c r="O566">
        <f t="shared" si="8"/>
        <v>8047.8000000000065</v>
      </c>
    </row>
    <row r="567" spans="1:15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  <c r="O567">
        <f t="shared" si="8"/>
        <v>2877.66</v>
      </c>
    </row>
    <row r="568" spans="1:15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  <c r="O568">
        <f t="shared" si="8"/>
        <v>8215.039999999979</v>
      </c>
    </row>
    <row r="569" spans="1:15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  <c r="O569">
        <f t="shared" si="8"/>
        <v>157.80000000000109</v>
      </c>
    </row>
    <row r="570" spans="1:15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  <c r="O570">
        <f t="shared" si="8"/>
        <v>8258.5800000000017</v>
      </c>
    </row>
    <row r="571" spans="1:15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  <c r="O571">
        <f t="shared" si="8"/>
        <v>1557.8499999999985</v>
      </c>
    </row>
    <row r="572" spans="1:15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  <c r="O572">
        <f t="shared" si="8"/>
        <v>2088.3999999999996</v>
      </c>
    </row>
    <row r="573" spans="1:15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  <c r="O573">
        <f t="shared" si="8"/>
        <v>7063.9900000000025</v>
      </c>
    </row>
    <row r="574" spans="1:15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  <c r="O574">
        <f t="shared" si="8"/>
        <v>3761.559999999999</v>
      </c>
    </row>
    <row r="575" spans="1:15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  <c r="O575">
        <f t="shared" si="8"/>
        <v>9902.3099999999959</v>
      </c>
    </row>
    <row r="576" spans="1:15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2955.51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  <c r="O576">
        <f t="shared" si="8"/>
        <v>7961.1400000000076</v>
      </c>
    </row>
    <row r="577" spans="1:15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  <c r="O577">
        <f t="shared" si="8"/>
        <v>1179.6400000000012</v>
      </c>
    </row>
    <row r="578" spans="1:15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  <c r="O578">
        <f t="shared" si="8"/>
        <v>13757.890000000003</v>
      </c>
    </row>
    <row r="579" spans="1:15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  <c r="O579">
        <f t="shared" ref="O579:O642" si="9">(I579-H579)*F579</f>
        <v>1597.6399999999976</v>
      </c>
    </row>
    <row r="580" spans="1:15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  <c r="O580">
        <f t="shared" si="9"/>
        <v>2110.0400000000018</v>
      </c>
    </row>
    <row r="581" spans="1:15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  <c r="O581">
        <f t="shared" si="9"/>
        <v>1236.2999999999988</v>
      </c>
    </row>
    <row r="582" spans="1:15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  <c r="O582">
        <f t="shared" si="9"/>
        <v>14623.559999999994</v>
      </c>
    </row>
    <row r="583" spans="1:15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1086.8900000000001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  <c r="O583">
        <f t="shared" si="9"/>
        <v>2937.0600000000013</v>
      </c>
    </row>
    <row r="584" spans="1:15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  <c r="O584">
        <f t="shared" si="9"/>
        <v>18778.620000000006</v>
      </c>
    </row>
    <row r="585" spans="1:15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  <c r="O585">
        <f t="shared" si="9"/>
        <v>11442.409999999996</v>
      </c>
    </row>
    <row r="586" spans="1:15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  <c r="O586">
        <f t="shared" si="9"/>
        <v>1813.630000000001</v>
      </c>
    </row>
    <row r="587" spans="1:15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  <c r="O587">
        <f t="shared" si="9"/>
        <v>1984</v>
      </c>
    </row>
    <row r="588" spans="1:15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  <c r="O588">
        <f t="shared" si="9"/>
        <v>2667.4100000000008</v>
      </c>
    </row>
    <row r="589" spans="1:15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3967.69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  <c r="O589">
        <f t="shared" si="9"/>
        <v>17566.920000000009</v>
      </c>
    </row>
    <row r="590" spans="1:15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  <c r="O590">
        <f t="shared" si="9"/>
        <v>6573.8999999999896</v>
      </c>
    </row>
    <row r="591" spans="1:15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  <c r="O591">
        <f t="shared" si="9"/>
        <v>10164.280000000002</v>
      </c>
    </row>
    <row r="592" spans="1:15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1624.89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  <c r="O592">
        <f t="shared" si="9"/>
        <v>12822.600000000004</v>
      </c>
    </row>
    <row r="593" spans="1:15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  <c r="O593">
        <f t="shared" si="9"/>
        <v>6731.3399999999992</v>
      </c>
    </row>
    <row r="594" spans="1:15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  <c r="O594">
        <f t="shared" si="9"/>
        <v>2444.3499999999831</v>
      </c>
    </row>
    <row r="595" spans="1:15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  <c r="O595">
        <f t="shared" si="9"/>
        <v>4313.9500000000035</v>
      </c>
    </row>
    <row r="596" spans="1:15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  <c r="O596">
        <f t="shared" si="9"/>
        <v>8838.0999999999967</v>
      </c>
    </row>
    <row r="597" spans="1:15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  <c r="O597">
        <f t="shared" si="9"/>
        <v>13632.96</v>
      </c>
    </row>
    <row r="598" spans="1:15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  <c r="O598">
        <f t="shared" si="9"/>
        <v>454.7800000000002</v>
      </c>
    </row>
    <row r="599" spans="1:15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  <c r="O599">
        <f t="shared" si="9"/>
        <v>4601.9000000000005</v>
      </c>
    </row>
    <row r="600" spans="1:15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  <c r="O600">
        <f t="shared" si="9"/>
        <v>451.5600000000004</v>
      </c>
    </row>
    <row r="601" spans="1:15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  <c r="O601">
        <f t="shared" si="9"/>
        <v>557.79999999999995</v>
      </c>
    </row>
    <row r="602" spans="1:15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  <c r="O602">
        <f t="shared" si="9"/>
        <v>9604.3199999999961</v>
      </c>
    </row>
    <row r="603" spans="1:15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3069.94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  <c r="O603">
        <f t="shared" si="9"/>
        <v>5026.9000000000051</v>
      </c>
    </row>
    <row r="604" spans="1:15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  <c r="O604">
        <f t="shared" si="9"/>
        <v>15376.320000000007</v>
      </c>
    </row>
    <row r="605" spans="1:15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  <c r="O605">
        <f t="shared" si="9"/>
        <v>5336.9599999999991</v>
      </c>
    </row>
    <row r="606" spans="1:15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  <c r="O606">
        <f t="shared" si="9"/>
        <v>4258.0800000000017</v>
      </c>
    </row>
    <row r="607" spans="1:15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  <c r="O607">
        <f t="shared" si="9"/>
        <v>991.75999999999749</v>
      </c>
    </row>
    <row r="608" spans="1:15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4663.34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  <c r="O608">
        <f t="shared" si="9"/>
        <v>8296.4700000000194</v>
      </c>
    </row>
    <row r="609" spans="1:15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  <c r="O609">
        <f t="shared" si="9"/>
        <v>4855.53</v>
      </c>
    </row>
    <row r="610" spans="1:15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  <c r="O610">
        <f t="shared" si="9"/>
        <v>16192.509999999997</v>
      </c>
    </row>
    <row r="611" spans="1:15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  <c r="O611">
        <f t="shared" si="9"/>
        <v>2689.4399999999987</v>
      </c>
    </row>
    <row r="612" spans="1:15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  <c r="O612">
        <f t="shared" si="9"/>
        <v>110.56000000000006</v>
      </c>
    </row>
    <row r="613" spans="1:15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1292.94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  <c r="O613">
        <f t="shared" si="9"/>
        <v>1131.4600000000014</v>
      </c>
    </row>
    <row r="614" spans="1:15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  <c r="O614">
        <f t="shared" si="9"/>
        <v>1502.549999999999</v>
      </c>
    </row>
    <row r="615" spans="1:15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  <c r="O615">
        <f t="shared" si="9"/>
        <v>649.56000000000131</v>
      </c>
    </row>
    <row r="616" spans="1:15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  <c r="O616">
        <f t="shared" si="9"/>
        <v>3108.7000000000003</v>
      </c>
    </row>
    <row r="617" spans="1:15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  <c r="O617">
        <f t="shared" si="9"/>
        <v>10132.460000000001</v>
      </c>
    </row>
    <row r="618" spans="1:15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  <c r="O618">
        <f t="shared" si="9"/>
        <v>17402.690000000002</v>
      </c>
    </row>
    <row r="619" spans="1:15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  <c r="O619">
        <f t="shared" si="9"/>
        <v>4808.3999999999978</v>
      </c>
    </row>
    <row r="620" spans="1:15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  <c r="O620">
        <f t="shared" si="9"/>
        <v>4402.3100000000068</v>
      </c>
    </row>
    <row r="621" spans="1:15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  <c r="O621">
        <f t="shared" si="9"/>
        <v>7562.4500000000007</v>
      </c>
    </row>
    <row r="622" spans="1:15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  <c r="O622">
        <f t="shared" si="9"/>
        <v>2550.2399999999916</v>
      </c>
    </row>
    <row r="623" spans="1:15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  <c r="O623">
        <f t="shared" si="9"/>
        <v>1922.9099999999994</v>
      </c>
    </row>
    <row r="624" spans="1:15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  <c r="O624">
        <f t="shared" si="9"/>
        <v>8330.2799999999934</v>
      </c>
    </row>
    <row r="625" spans="1:15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  <c r="O625">
        <f t="shared" si="9"/>
        <v>1933.4400000000023</v>
      </c>
    </row>
    <row r="626" spans="1:15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  <c r="O626">
        <f t="shared" si="9"/>
        <v>367.75999999999976</v>
      </c>
    </row>
    <row r="627" spans="1:15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  <c r="O627">
        <f t="shared" si="9"/>
        <v>9388.25</v>
      </c>
    </row>
    <row r="628" spans="1:15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  <c r="O628">
        <f t="shared" si="9"/>
        <v>11042.079999999991</v>
      </c>
    </row>
    <row r="629" spans="1:15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  <c r="O629">
        <f t="shared" si="9"/>
        <v>10563.84</v>
      </c>
    </row>
    <row r="630" spans="1:15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  <c r="O630">
        <f t="shared" si="9"/>
        <v>690.41000000000076</v>
      </c>
    </row>
    <row r="631" spans="1:15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  <c r="O631">
        <f t="shared" si="9"/>
        <v>740.06</v>
      </c>
    </row>
    <row r="632" spans="1:15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  <c r="O632">
        <f t="shared" si="9"/>
        <v>5609.1000000000076</v>
      </c>
    </row>
    <row r="633" spans="1:15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  <c r="O633">
        <f t="shared" si="9"/>
        <v>6012</v>
      </c>
    </row>
    <row r="634" spans="1:15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  <c r="O634">
        <f t="shared" si="9"/>
        <v>188.03999999999905</v>
      </c>
    </row>
    <row r="635" spans="1:15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  <c r="O635">
        <f t="shared" si="9"/>
        <v>13761</v>
      </c>
    </row>
    <row r="636" spans="1:15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  <c r="O636">
        <f t="shared" si="9"/>
        <v>6389.1299999999992</v>
      </c>
    </row>
    <row r="637" spans="1:15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  <c r="O637">
        <f t="shared" si="9"/>
        <v>5084.2999999999993</v>
      </c>
    </row>
    <row r="638" spans="1:15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  <c r="O638">
        <f t="shared" si="9"/>
        <v>5254.3700000000008</v>
      </c>
    </row>
    <row r="639" spans="1:15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  <c r="O639">
        <f t="shared" si="9"/>
        <v>17533.599999999988</v>
      </c>
    </row>
    <row r="640" spans="1:15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  <c r="O640">
        <f t="shared" si="9"/>
        <v>15346.269999999995</v>
      </c>
    </row>
    <row r="641" spans="1:15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  <c r="O641">
        <f t="shared" si="9"/>
        <v>3956.5900000000006</v>
      </c>
    </row>
    <row r="642" spans="1:15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  <c r="O642">
        <f t="shared" si="9"/>
        <v>6015.6000000000131</v>
      </c>
    </row>
    <row r="643" spans="1:15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  <c r="O643">
        <f t="shared" ref="O643:O706" si="10">(I643-H643)*F643</f>
        <v>995.52000000000044</v>
      </c>
    </row>
    <row r="644" spans="1:15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  <c r="O644">
        <f t="shared" si="10"/>
        <v>1285.44</v>
      </c>
    </row>
    <row r="645" spans="1:15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  <c r="O645">
        <f t="shared" si="10"/>
        <v>241.68</v>
      </c>
    </row>
    <row r="646" spans="1:15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  <c r="O646">
        <f t="shared" si="10"/>
        <v>20989.079999999991</v>
      </c>
    </row>
    <row r="647" spans="1:15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  <c r="O647">
        <f t="shared" si="10"/>
        <v>8503.9200000000019</v>
      </c>
    </row>
    <row r="648" spans="1:15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  <c r="O648">
        <f t="shared" si="10"/>
        <v>10837.820000000003</v>
      </c>
    </row>
    <row r="649" spans="1:15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  <c r="O649">
        <f t="shared" si="10"/>
        <v>302.39999999999964</v>
      </c>
    </row>
    <row r="650" spans="1:15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  <c r="O650">
        <f t="shared" si="10"/>
        <v>14990.079999999998</v>
      </c>
    </row>
    <row r="651" spans="1:15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  <c r="O651">
        <f t="shared" si="10"/>
        <v>548.79999999999563</v>
      </c>
    </row>
    <row r="652" spans="1:15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  <c r="O652">
        <f t="shared" si="10"/>
        <v>112.77999999999975</v>
      </c>
    </row>
    <row r="653" spans="1:15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  <c r="O653">
        <f t="shared" si="10"/>
        <v>782.99999999999727</v>
      </c>
    </row>
    <row r="654" spans="1:15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  <c r="O654">
        <f t="shared" si="10"/>
        <v>5091.8000000000029</v>
      </c>
    </row>
    <row r="655" spans="1:15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  <c r="O655">
        <f t="shared" si="10"/>
        <v>11563.399999999998</v>
      </c>
    </row>
    <row r="656" spans="1:15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2610.84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  <c r="O656">
        <f t="shared" si="10"/>
        <v>1137.3600000000097</v>
      </c>
    </row>
    <row r="657" spans="1:15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  <c r="O657">
        <f t="shared" si="10"/>
        <v>9085</v>
      </c>
    </row>
    <row r="658" spans="1:15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  <c r="O658">
        <f t="shared" si="10"/>
        <v>3932.4800000000105</v>
      </c>
    </row>
    <row r="659" spans="1:15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  <c r="O659">
        <f t="shared" si="10"/>
        <v>3457.5</v>
      </c>
    </row>
    <row r="660" spans="1:15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  <c r="O660">
        <f t="shared" si="10"/>
        <v>20627.460000000006</v>
      </c>
    </row>
    <row r="661" spans="1:15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  <c r="O661">
        <f t="shared" si="10"/>
        <v>13945.599999999995</v>
      </c>
    </row>
    <row r="662" spans="1:15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  <c r="O662">
        <f t="shared" si="10"/>
        <v>14611.08</v>
      </c>
    </row>
    <row r="663" spans="1:15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  <c r="O663">
        <f t="shared" si="10"/>
        <v>6170.0600000000049</v>
      </c>
    </row>
    <row r="664" spans="1:15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  <c r="O664">
        <f t="shared" si="10"/>
        <v>10188.910000000009</v>
      </c>
    </row>
    <row r="665" spans="1:15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  <c r="O665">
        <f t="shared" si="10"/>
        <v>14873.880000000005</v>
      </c>
    </row>
    <row r="666" spans="1:15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  <c r="O666">
        <f t="shared" si="10"/>
        <v>20090.620000000003</v>
      </c>
    </row>
    <row r="667" spans="1:15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  <c r="O667">
        <f t="shared" si="10"/>
        <v>6835.38</v>
      </c>
    </row>
    <row r="668" spans="1:15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  <c r="O668">
        <f t="shared" si="10"/>
        <v>2209.2799999999988</v>
      </c>
    </row>
    <row r="669" spans="1:15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  <c r="O669">
        <f t="shared" si="10"/>
        <v>21322.35</v>
      </c>
    </row>
    <row r="670" spans="1:15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3606.09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  <c r="O670">
        <f t="shared" si="10"/>
        <v>8049.5800000000072</v>
      </c>
    </row>
    <row r="671" spans="1:15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  <c r="O671">
        <f t="shared" si="10"/>
        <v>2352.7999999999997</v>
      </c>
    </row>
    <row r="672" spans="1:15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  <c r="O672">
        <f t="shared" si="10"/>
        <v>9892.1499999999978</v>
      </c>
    </row>
    <row r="673" spans="1:15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  <c r="O673">
        <f t="shared" si="10"/>
        <v>10807.019999999993</v>
      </c>
    </row>
    <row r="674" spans="1:15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  <c r="O674">
        <f t="shared" si="10"/>
        <v>11400.460000000017</v>
      </c>
    </row>
    <row r="675" spans="1:15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  <c r="O675">
        <f t="shared" si="10"/>
        <v>5255.6800000000076</v>
      </c>
    </row>
    <row r="676" spans="1:15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  <c r="O676">
        <f t="shared" si="10"/>
        <v>12897.899999999998</v>
      </c>
    </row>
    <row r="677" spans="1:15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  <c r="O677">
        <f t="shared" si="10"/>
        <v>10072.959999999995</v>
      </c>
    </row>
    <row r="678" spans="1:15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  <c r="O678">
        <f t="shared" si="10"/>
        <v>7140.6399999999849</v>
      </c>
    </row>
    <row r="679" spans="1:15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  <c r="O679">
        <f t="shared" si="10"/>
        <v>9432.7499999999982</v>
      </c>
    </row>
    <row r="680" spans="1:15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  <c r="O680">
        <f t="shared" si="10"/>
        <v>733.02000000000021</v>
      </c>
    </row>
    <row r="681" spans="1:15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  <c r="O681">
        <f t="shared" si="10"/>
        <v>3823.6800000000039</v>
      </c>
    </row>
    <row r="682" spans="1:15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  <c r="O682">
        <f t="shared" si="10"/>
        <v>7452.0000000000073</v>
      </c>
    </row>
    <row r="683" spans="1:15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  <c r="O683">
        <f t="shared" si="10"/>
        <v>1879.6499999999951</v>
      </c>
    </row>
    <row r="684" spans="1:15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  <c r="O684">
        <f t="shared" si="10"/>
        <v>5826.1200000000026</v>
      </c>
    </row>
    <row r="685" spans="1:15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  <c r="O685">
        <f t="shared" si="10"/>
        <v>1691.8200000000161</v>
      </c>
    </row>
    <row r="686" spans="1:15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  <c r="O686">
        <f t="shared" si="10"/>
        <v>1274.1299999999999</v>
      </c>
    </row>
    <row r="687" spans="1:15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  <c r="O687">
        <f t="shared" si="10"/>
        <v>2512.7999999999997</v>
      </c>
    </row>
    <row r="688" spans="1:15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  <c r="O688">
        <f t="shared" si="10"/>
        <v>13440</v>
      </c>
    </row>
    <row r="689" spans="1:15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  <c r="O689">
        <f t="shared" si="10"/>
        <v>3066.7999999999938</v>
      </c>
    </row>
    <row r="690" spans="1:15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  <c r="O690">
        <f t="shared" si="10"/>
        <v>6994.0800000000017</v>
      </c>
    </row>
    <row r="691" spans="1:15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  <c r="O691">
        <f t="shared" si="10"/>
        <v>844.80000000000018</v>
      </c>
    </row>
    <row r="692" spans="1:15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2540.42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  <c r="O692">
        <f t="shared" si="10"/>
        <v>13881.270000000011</v>
      </c>
    </row>
    <row r="693" spans="1:15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  <c r="O693">
        <f t="shared" si="10"/>
        <v>253.4399999999996</v>
      </c>
    </row>
    <row r="694" spans="1:15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  <c r="O694">
        <f t="shared" si="10"/>
        <v>200.45000000000002</v>
      </c>
    </row>
    <row r="695" spans="1:15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  <c r="O695">
        <f t="shared" si="10"/>
        <v>8186.7600000000029</v>
      </c>
    </row>
    <row r="696" spans="1:15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  <c r="O696">
        <f t="shared" si="10"/>
        <v>10721.759999999995</v>
      </c>
    </row>
    <row r="697" spans="1:15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  <c r="O697">
        <f t="shared" si="10"/>
        <v>5711.8500000000049</v>
      </c>
    </row>
    <row r="698" spans="1:15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  <c r="O698">
        <f t="shared" si="10"/>
        <v>162.31999999999994</v>
      </c>
    </row>
    <row r="699" spans="1:15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  <c r="O699">
        <f t="shared" si="10"/>
        <v>8274.2099999999955</v>
      </c>
    </row>
    <row r="700" spans="1:15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  <c r="O700">
        <f t="shared" si="10"/>
        <v>6745.8999999999987</v>
      </c>
    </row>
    <row r="701" spans="1:15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  <c r="O701">
        <f t="shared" si="10"/>
        <v>615.54</v>
      </c>
    </row>
    <row r="702" spans="1:15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  <c r="O702">
        <f t="shared" si="10"/>
        <v>14263.939999999999</v>
      </c>
    </row>
    <row r="703" spans="1:15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  <c r="O703">
        <f t="shared" si="10"/>
        <v>6332.0999999999985</v>
      </c>
    </row>
    <row r="704" spans="1:15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  <c r="O704">
        <f t="shared" si="10"/>
        <v>331.43999999999869</v>
      </c>
    </row>
    <row r="705" spans="1:15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  <c r="O705">
        <f t="shared" si="10"/>
        <v>12306.939999999995</v>
      </c>
    </row>
    <row r="706" spans="1:15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  <c r="O706">
        <f t="shared" si="10"/>
        <v>4214.5599999999995</v>
      </c>
    </row>
    <row r="707" spans="1:15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  <c r="O707">
        <f t="shared" ref="O707:O770" si="11">(I707-H707)*F707</f>
        <v>5684.1999999999916</v>
      </c>
    </row>
    <row r="708" spans="1:15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  <c r="O708">
        <f t="shared" si="11"/>
        <v>5728.32</v>
      </c>
    </row>
    <row r="709" spans="1:15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  <c r="O709">
        <f t="shared" si="11"/>
        <v>4342.7999999999956</v>
      </c>
    </row>
    <row r="710" spans="1:15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3254.55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  <c r="O710">
        <f t="shared" si="11"/>
        <v>9709.3500000000076</v>
      </c>
    </row>
    <row r="711" spans="1:15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  <c r="O711">
        <f t="shared" si="11"/>
        <v>1112.5999999999999</v>
      </c>
    </row>
    <row r="712" spans="1:15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  <c r="O712">
        <f t="shared" si="11"/>
        <v>20162.259999999998</v>
      </c>
    </row>
    <row r="713" spans="1:15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  <c r="O713">
        <f t="shared" si="11"/>
        <v>348.87999999999943</v>
      </c>
    </row>
    <row r="714" spans="1:15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  <c r="O714">
        <f t="shared" si="11"/>
        <v>2017.609999999999</v>
      </c>
    </row>
    <row r="715" spans="1:15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  <c r="O715">
        <f t="shared" si="11"/>
        <v>7718.2199999999993</v>
      </c>
    </row>
    <row r="716" spans="1:15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  <c r="O716">
        <f t="shared" si="11"/>
        <v>7655.2800000000007</v>
      </c>
    </row>
    <row r="717" spans="1:15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4879.88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  <c r="O717">
        <f t="shared" si="11"/>
        <v>5266.1000000000076</v>
      </c>
    </row>
    <row r="718" spans="1:15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  <c r="O718">
        <f t="shared" si="11"/>
        <v>3828.7399999999889</v>
      </c>
    </row>
    <row r="719" spans="1:15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  <c r="O719">
        <f t="shared" si="11"/>
        <v>3278.0400000000009</v>
      </c>
    </row>
    <row r="720" spans="1:15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  <c r="O720">
        <f t="shared" si="11"/>
        <v>8167.2800000000007</v>
      </c>
    </row>
    <row r="721" spans="1:15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  <c r="O721">
        <f t="shared" si="11"/>
        <v>1904.2799999999979</v>
      </c>
    </row>
    <row r="722" spans="1:15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  <c r="O722">
        <f t="shared" si="11"/>
        <v>8680.6800000000039</v>
      </c>
    </row>
    <row r="723" spans="1:15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  <c r="O723">
        <f t="shared" si="11"/>
        <v>21613.05</v>
      </c>
    </row>
    <row r="724" spans="1:15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  <c r="O724">
        <f t="shared" si="11"/>
        <v>12287.520000000006</v>
      </c>
    </row>
    <row r="725" spans="1:15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  <c r="O725">
        <f t="shared" si="11"/>
        <v>10005.599999999999</v>
      </c>
    </row>
    <row r="726" spans="1:15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  <c r="O726">
        <f t="shared" si="11"/>
        <v>5146.260000000002</v>
      </c>
    </row>
    <row r="727" spans="1:15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  <c r="O727">
        <f t="shared" si="11"/>
        <v>5926.0800000000008</v>
      </c>
    </row>
    <row r="728" spans="1:15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  <c r="O728">
        <f t="shared" si="11"/>
        <v>1771.5600000000013</v>
      </c>
    </row>
    <row r="729" spans="1:15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  <c r="O729">
        <f t="shared" si="11"/>
        <v>4653.5000000000082</v>
      </c>
    </row>
    <row r="730" spans="1:15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  <c r="O730">
        <f t="shared" si="11"/>
        <v>13779.200000000004</v>
      </c>
    </row>
    <row r="731" spans="1:15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  <c r="O731">
        <f t="shared" si="11"/>
        <v>4091.3400000000006</v>
      </c>
    </row>
    <row r="732" spans="1:15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2255.0500000000002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  <c r="O732">
        <f t="shared" si="11"/>
        <v>2997.0000000000164</v>
      </c>
    </row>
    <row r="733" spans="1:15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  <c r="O733">
        <f t="shared" si="11"/>
        <v>6112.4399999999987</v>
      </c>
    </row>
    <row r="734" spans="1:15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1258.6300000000001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  <c r="O734">
        <f t="shared" si="11"/>
        <v>2360.2000000000044</v>
      </c>
    </row>
    <row r="735" spans="1:15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  <c r="O735">
        <f t="shared" si="11"/>
        <v>8341.02</v>
      </c>
    </row>
    <row r="736" spans="1:15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  <c r="O736">
        <f t="shared" si="11"/>
        <v>16541.399999999991</v>
      </c>
    </row>
    <row r="737" spans="1:15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  <c r="O737">
        <f t="shared" si="11"/>
        <v>764.52000000000044</v>
      </c>
    </row>
    <row r="738" spans="1:15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  <c r="O738">
        <f t="shared" si="11"/>
        <v>921.37999999999874</v>
      </c>
    </row>
    <row r="739" spans="1:15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  <c r="O739">
        <f t="shared" si="11"/>
        <v>11524.479999999996</v>
      </c>
    </row>
    <row r="740" spans="1:15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  <c r="O740">
        <f t="shared" si="11"/>
        <v>14196.150000000001</v>
      </c>
    </row>
    <row r="741" spans="1:15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  <c r="O741">
        <f t="shared" si="11"/>
        <v>7769.1199999999953</v>
      </c>
    </row>
    <row r="742" spans="1:15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  <c r="O742">
        <f t="shared" si="11"/>
        <v>1419.4499999999994</v>
      </c>
    </row>
    <row r="743" spans="1:15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  <c r="O743">
        <f t="shared" si="11"/>
        <v>699.31999999999971</v>
      </c>
    </row>
    <row r="744" spans="1:15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  <c r="O744">
        <f t="shared" si="11"/>
        <v>5550.7199999999939</v>
      </c>
    </row>
    <row r="745" spans="1:15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  <c r="O745">
        <f t="shared" si="11"/>
        <v>19593.600000000006</v>
      </c>
    </row>
    <row r="746" spans="1:15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  <c r="O746">
        <f t="shared" si="11"/>
        <v>4917.08</v>
      </c>
    </row>
    <row r="747" spans="1:15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  <c r="O747">
        <f t="shared" si="11"/>
        <v>13231.529999999999</v>
      </c>
    </row>
    <row r="748" spans="1:15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  <c r="O748">
        <f t="shared" si="11"/>
        <v>3965.8300000000017</v>
      </c>
    </row>
    <row r="749" spans="1:15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  <c r="O749">
        <f t="shared" si="11"/>
        <v>5241.1800000000048</v>
      </c>
    </row>
    <row r="750" spans="1:15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  <c r="O750">
        <f t="shared" si="11"/>
        <v>2265.7800000000007</v>
      </c>
    </row>
    <row r="751" spans="1:15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  <c r="O751">
        <f t="shared" si="11"/>
        <v>1985.6400000000003</v>
      </c>
    </row>
    <row r="752" spans="1:15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  <c r="O752">
        <f t="shared" si="11"/>
        <v>3952.3199999999997</v>
      </c>
    </row>
    <row r="753" spans="1:15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4269.0200000000004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  <c r="O753">
        <f t="shared" si="11"/>
        <v>2624.1200000000099</v>
      </c>
    </row>
    <row r="754" spans="1:15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  <c r="O754">
        <f t="shared" si="11"/>
        <v>6154.6500000000196</v>
      </c>
    </row>
    <row r="755" spans="1:15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  <c r="O755">
        <f t="shared" si="11"/>
        <v>521.87000000000126</v>
      </c>
    </row>
    <row r="756" spans="1:15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  <c r="O756">
        <f t="shared" si="11"/>
        <v>2096.5</v>
      </c>
    </row>
    <row r="757" spans="1:15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  <c r="O757">
        <f t="shared" si="11"/>
        <v>1970.1499999999987</v>
      </c>
    </row>
    <row r="758" spans="1:15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  <c r="O758">
        <f t="shared" si="11"/>
        <v>495.87999999998829</v>
      </c>
    </row>
    <row r="759" spans="1:15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  <c r="O759">
        <f t="shared" si="11"/>
        <v>4760.9599999999919</v>
      </c>
    </row>
    <row r="760" spans="1:15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  <c r="O760">
        <f t="shared" si="11"/>
        <v>6628.3499999999985</v>
      </c>
    </row>
    <row r="761" spans="1:15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2512.84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  <c r="O761">
        <f t="shared" si="11"/>
        <v>13239.160000000014</v>
      </c>
    </row>
    <row r="762" spans="1:15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  <c r="O762">
        <f t="shared" si="11"/>
        <v>5233.4499999999989</v>
      </c>
    </row>
    <row r="763" spans="1:15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  <c r="O763">
        <f t="shared" si="11"/>
        <v>8513.6500000000033</v>
      </c>
    </row>
    <row r="764" spans="1:15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  <c r="O764">
        <f t="shared" si="11"/>
        <v>16049.089999999991</v>
      </c>
    </row>
    <row r="765" spans="1:15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  <c r="O765">
        <f t="shared" si="11"/>
        <v>4535.0800000000072</v>
      </c>
    </row>
    <row r="766" spans="1:15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  <c r="O766">
        <f t="shared" si="11"/>
        <v>13980.459999999986</v>
      </c>
    </row>
    <row r="767" spans="1:15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  <c r="O767">
        <f t="shared" si="11"/>
        <v>335.90000000000003</v>
      </c>
    </row>
    <row r="768" spans="1:15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  <c r="O768">
        <f t="shared" si="11"/>
        <v>14914.799999999992</v>
      </c>
    </row>
    <row r="769" spans="1:15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  <c r="O769">
        <f t="shared" si="11"/>
        <v>4783.3199999999961</v>
      </c>
    </row>
    <row r="770" spans="1:15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  <c r="O770">
        <f t="shared" si="11"/>
        <v>8654.4400000000041</v>
      </c>
    </row>
    <row r="771" spans="1:15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  <c r="O771">
        <f t="shared" ref="O771:O834" si="12">(I771-H771)*F771</f>
        <v>11175.2</v>
      </c>
    </row>
    <row r="772" spans="1:15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  <c r="O772">
        <f t="shared" si="12"/>
        <v>3243.1000000000004</v>
      </c>
    </row>
    <row r="773" spans="1:15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  <c r="O773">
        <f t="shared" si="12"/>
        <v>1395.2999999999997</v>
      </c>
    </row>
    <row r="774" spans="1:15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  <c r="O774">
        <f t="shared" si="12"/>
        <v>13847.719999999998</v>
      </c>
    </row>
    <row r="775" spans="1:15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  <c r="O775">
        <f t="shared" si="12"/>
        <v>16092.119999999995</v>
      </c>
    </row>
    <row r="776" spans="1:15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  <c r="O776">
        <f t="shared" si="12"/>
        <v>12851.050000000007</v>
      </c>
    </row>
    <row r="777" spans="1:15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  <c r="O777">
        <f t="shared" si="12"/>
        <v>1378.9999999999952</v>
      </c>
    </row>
    <row r="778" spans="1:15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4045.34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  <c r="O778">
        <f t="shared" si="12"/>
        <v>3303.9500000000062</v>
      </c>
    </row>
    <row r="779" spans="1:15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  <c r="O779">
        <f t="shared" si="12"/>
        <v>12979.119999999999</v>
      </c>
    </row>
    <row r="780" spans="1:15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3218.9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  <c r="O780">
        <f t="shared" si="12"/>
        <v>4873.3100000000049</v>
      </c>
    </row>
    <row r="781" spans="1:15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  <c r="O781">
        <f t="shared" si="12"/>
        <v>15383.779999999992</v>
      </c>
    </row>
    <row r="782" spans="1:15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  <c r="O782">
        <f t="shared" si="12"/>
        <v>10514.91</v>
      </c>
    </row>
    <row r="783" spans="1:15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  <c r="O783">
        <f t="shared" si="12"/>
        <v>14021.119999999999</v>
      </c>
    </row>
    <row r="784" spans="1:15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  <c r="O784">
        <f t="shared" si="12"/>
        <v>10235.599999999995</v>
      </c>
    </row>
    <row r="785" spans="1:15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  <c r="O785">
        <f t="shared" si="12"/>
        <v>2917.8499999999976</v>
      </c>
    </row>
    <row r="786" spans="1:15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  <c r="O786">
        <f t="shared" si="12"/>
        <v>3528.9999999999964</v>
      </c>
    </row>
    <row r="787" spans="1:15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  <c r="O787">
        <f t="shared" si="12"/>
        <v>12681.200000000006</v>
      </c>
    </row>
    <row r="788" spans="1:15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4082.76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  <c r="O788">
        <f t="shared" si="12"/>
        <v>753.10000000000173</v>
      </c>
    </row>
    <row r="789" spans="1:15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  <c r="O789">
        <f t="shared" si="12"/>
        <v>1191.9599999999964</v>
      </c>
    </row>
    <row r="790" spans="1:15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1596.65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  <c r="O790">
        <f t="shared" si="12"/>
        <v>5352.2400000000052</v>
      </c>
    </row>
    <row r="791" spans="1:15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  <c r="O791">
        <f t="shared" si="12"/>
        <v>581.03999999999814</v>
      </c>
    </row>
    <row r="792" spans="1:15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  <c r="O792">
        <f t="shared" si="12"/>
        <v>8765.2500000000146</v>
      </c>
    </row>
    <row r="793" spans="1:15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  <c r="O793">
        <f t="shared" si="12"/>
        <v>9670.760000000002</v>
      </c>
    </row>
    <row r="794" spans="1:15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4820.3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  <c r="O794">
        <f t="shared" si="12"/>
        <v>5425.4200000000128</v>
      </c>
    </row>
    <row r="795" spans="1:15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  <c r="O795">
        <f t="shared" si="12"/>
        <v>402.52000000000044</v>
      </c>
    </row>
    <row r="796" spans="1:15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  <c r="O796">
        <f t="shared" si="12"/>
        <v>20494.800000000003</v>
      </c>
    </row>
    <row r="797" spans="1:15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  <c r="O797">
        <f t="shared" si="12"/>
        <v>121.34999999999991</v>
      </c>
    </row>
    <row r="798" spans="1:15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  <c r="O798">
        <f t="shared" si="12"/>
        <v>10445.21999999999</v>
      </c>
    </row>
    <row r="799" spans="1:15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  <c r="O799">
        <f t="shared" si="12"/>
        <v>11298.500000000002</v>
      </c>
    </row>
    <row r="800" spans="1:15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  <c r="O800">
        <f t="shared" si="12"/>
        <v>1829.6800000000003</v>
      </c>
    </row>
    <row r="801" spans="1:15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  <c r="O801">
        <f t="shared" si="12"/>
        <v>279.84000000000003</v>
      </c>
    </row>
    <row r="802" spans="1:15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  <c r="O802">
        <f t="shared" si="12"/>
        <v>9455.8000000000029</v>
      </c>
    </row>
    <row r="803" spans="1:15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  <c r="O803">
        <f t="shared" si="12"/>
        <v>5016.8799999999992</v>
      </c>
    </row>
    <row r="804" spans="1:15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  <c r="O804">
        <f t="shared" si="12"/>
        <v>6092.01</v>
      </c>
    </row>
    <row r="805" spans="1:15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  <c r="O805">
        <f t="shared" si="12"/>
        <v>7763.52</v>
      </c>
    </row>
    <row r="806" spans="1:15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  <c r="O806">
        <f t="shared" si="12"/>
        <v>1502.71</v>
      </c>
    </row>
    <row r="807" spans="1:15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  <c r="O807">
        <f t="shared" si="12"/>
        <v>16033.290000000005</v>
      </c>
    </row>
    <row r="808" spans="1:15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  <c r="O808">
        <f t="shared" si="12"/>
        <v>21187.600000000009</v>
      </c>
    </row>
    <row r="809" spans="1:15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  <c r="O809">
        <f t="shared" si="12"/>
        <v>9435.5999999999913</v>
      </c>
    </row>
    <row r="810" spans="1:15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  <c r="O810">
        <f t="shared" si="12"/>
        <v>1163.0300000000002</v>
      </c>
    </row>
    <row r="811" spans="1:15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  <c r="O811">
        <f t="shared" si="12"/>
        <v>1522.7900000000063</v>
      </c>
    </row>
    <row r="812" spans="1:15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  <c r="O812">
        <f t="shared" si="12"/>
        <v>7973.4200000000019</v>
      </c>
    </row>
    <row r="813" spans="1:15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  <c r="O813">
        <f t="shared" si="12"/>
        <v>607.68000000000029</v>
      </c>
    </row>
    <row r="814" spans="1:15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3224.84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  <c r="O814">
        <f t="shared" si="12"/>
        <v>11888.80000000001</v>
      </c>
    </row>
    <row r="815" spans="1:15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  <c r="O815">
        <f t="shared" si="12"/>
        <v>5398.1999999999989</v>
      </c>
    </row>
    <row r="816" spans="1:15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  <c r="O816">
        <f t="shared" si="12"/>
        <v>15399.419999999978</v>
      </c>
    </row>
    <row r="817" spans="1:15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  <c r="O817">
        <f t="shared" si="12"/>
        <v>897.54000000000019</v>
      </c>
    </row>
    <row r="818" spans="1:15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  <c r="O818">
        <f t="shared" si="12"/>
        <v>217.11999999999989</v>
      </c>
    </row>
    <row r="819" spans="1:15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3483.15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  <c r="O819">
        <f t="shared" si="12"/>
        <v>5096.2100000000137</v>
      </c>
    </row>
    <row r="820" spans="1:15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  <c r="O820">
        <f t="shared" si="12"/>
        <v>159.78999999999996</v>
      </c>
    </row>
    <row r="821" spans="1:15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  <c r="O821">
        <f t="shared" si="12"/>
        <v>4539.17</v>
      </c>
    </row>
    <row r="822" spans="1:15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  <c r="O822">
        <f t="shared" si="12"/>
        <v>658.84000000000015</v>
      </c>
    </row>
    <row r="823" spans="1:15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  <c r="O823">
        <f t="shared" si="12"/>
        <v>11366.550000000001</v>
      </c>
    </row>
    <row r="824" spans="1:15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  <c r="O824">
        <f t="shared" si="12"/>
        <v>7718.1999999999971</v>
      </c>
    </row>
    <row r="825" spans="1:15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  <c r="O825">
        <f t="shared" si="12"/>
        <v>2919.7199999999993</v>
      </c>
    </row>
    <row r="826" spans="1:15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  <c r="O826">
        <f t="shared" si="12"/>
        <v>1200.4799999999996</v>
      </c>
    </row>
    <row r="827" spans="1:15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  <c r="O827">
        <f t="shared" si="12"/>
        <v>1300.3600000000042</v>
      </c>
    </row>
    <row r="828" spans="1:15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  <c r="O828">
        <f t="shared" si="12"/>
        <v>8609.7599999999948</v>
      </c>
    </row>
    <row r="829" spans="1:15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  <c r="O829">
        <f t="shared" si="12"/>
        <v>12348.93</v>
      </c>
    </row>
    <row r="830" spans="1:15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  <c r="O830">
        <f t="shared" si="12"/>
        <v>674.01000000000022</v>
      </c>
    </row>
    <row r="831" spans="1:15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  <c r="O831">
        <f t="shared" si="12"/>
        <v>14375.199999999993</v>
      </c>
    </row>
    <row r="832" spans="1:15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  <c r="O832">
        <f t="shared" si="12"/>
        <v>1395.8500000000004</v>
      </c>
    </row>
    <row r="833" spans="1:15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  <c r="O833">
        <f t="shared" si="12"/>
        <v>12571.199999999986</v>
      </c>
    </row>
    <row r="834" spans="1:15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  <c r="O834">
        <f t="shared" si="12"/>
        <v>20875.800000000003</v>
      </c>
    </row>
    <row r="835" spans="1:15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  <c r="O835">
        <f t="shared" ref="O835:O898" si="13">(I835-H835)*F835</f>
        <v>527.51999999999771</v>
      </c>
    </row>
    <row r="836" spans="1:15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  <c r="O836">
        <f t="shared" si="13"/>
        <v>4672.7999999999884</v>
      </c>
    </row>
    <row r="837" spans="1:15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  <c r="O837">
        <f t="shared" si="13"/>
        <v>13893.75</v>
      </c>
    </row>
    <row r="838" spans="1:15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  <c r="O838">
        <f t="shared" si="13"/>
        <v>2707.6</v>
      </c>
    </row>
    <row r="839" spans="1:15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2860.42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  <c r="O839">
        <f t="shared" si="13"/>
        <v>1885.2300000000023</v>
      </c>
    </row>
    <row r="840" spans="1:15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  <c r="O840">
        <f t="shared" si="13"/>
        <v>13340.339999999998</v>
      </c>
    </row>
    <row r="841" spans="1:15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1175.22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  <c r="O841">
        <f t="shared" si="13"/>
        <v>484.40000000000055</v>
      </c>
    </row>
    <row r="842" spans="1:15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  <c r="O842">
        <f t="shared" si="13"/>
        <v>5794.4299999999876</v>
      </c>
    </row>
    <row r="843" spans="1:15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  <c r="O843">
        <f t="shared" si="13"/>
        <v>13366.5</v>
      </c>
    </row>
    <row r="844" spans="1:15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1510.43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  <c r="O844">
        <f t="shared" si="13"/>
        <v>1467.1800000000039</v>
      </c>
    </row>
    <row r="845" spans="1:15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  <c r="O845">
        <f t="shared" si="13"/>
        <v>11420.55</v>
      </c>
    </row>
    <row r="846" spans="1:15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  <c r="O846">
        <f t="shared" si="13"/>
        <v>5973.1299999999937</v>
      </c>
    </row>
    <row r="847" spans="1:15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  <c r="O847">
        <f t="shared" si="13"/>
        <v>4744.350000000004</v>
      </c>
    </row>
    <row r="848" spans="1:15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  <c r="O848">
        <f t="shared" si="13"/>
        <v>1337.4400000000014</v>
      </c>
    </row>
    <row r="849" spans="1:15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  <c r="O849">
        <f t="shared" si="13"/>
        <v>9838.399999999996</v>
      </c>
    </row>
    <row r="850" spans="1:15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  <c r="O850">
        <f t="shared" si="13"/>
        <v>6192.4799999999959</v>
      </c>
    </row>
    <row r="851" spans="1:15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  <c r="O851">
        <f t="shared" si="13"/>
        <v>5029.9399999999987</v>
      </c>
    </row>
    <row r="852" spans="1:15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  <c r="O852">
        <f t="shared" si="13"/>
        <v>10108.350000000006</v>
      </c>
    </row>
    <row r="853" spans="1:15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  <c r="O853">
        <f t="shared" si="13"/>
        <v>4626.1599999999944</v>
      </c>
    </row>
    <row r="854" spans="1:15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  <c r="O854">
        <f t="shared" si="13"/>
        <v>9467.3100000000031</v>
      </c>
    </row>
    <row r="855" spans="1:15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3781.55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  <c r="O855">
        <f t="shared" si="13"/>
        <v>5641.6700000000055</v>
      </c>
    </row>
    <row r="856" spans="1:15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1829.16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  <c r="O856">
        <f t="shared" si="13"/>
        <v>2123.0400000000009</v>
      </c>
    </row>
    <row r="857" spans="1:15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  <c r="O857">
        <f t="shared" si="13"/>
        <v>667.11999999999898</v>
      </c>
    </row>
    <row r="858" spans="1:15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  <c r="O858">
        <f t="shared" si="13"/>
        <v>1769.4600000000046</v>
      </c>
    </row>
    <row r="859" spans="1:15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  <c r="O859">
        <f t="shared" si="13"/>
        <v>9552.66</v>
      </c>
    </row>
    <row r="860" spans="1:15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  <c r="O860">
        <f t="shared" si="13"/>
        <v>13644.48000000001</v>
      </c>
    </row>
    <row r="861" spans="1:15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  <c r="O861">
        <f t="shared" si="13"/>
        <v>4833.6600000000017</v>
      </c>
    </row>
    <row r="862" spans="1:15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  <c r="O862">
        <f t="shared" si="13"/>
        <v>9340.2999999999975</v>
      </c>
    </row>
    <row r="863" spans="1:15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  <c r="O863">
        <f t="shared" si="13"/>
        <v>8606.4500000000044</v>
      </c>
    </row>
    <row r="864" spans="1:15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  <c r="O864">
        <f t="shared" si="13"/>
        <v>5200.26</v>
      </c>
    </row>
    <row r="865" spans="1:15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  <c r="O865">
        <f t="shared" si="13"/>
        <v>4474.9600000000046</v>
      </c>
    </row>
    <row r="866" spans="1:15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  <c r="O866">
        <f t="shared" si="13"/>
        <v>411.21</v>
      </c>
    </row>
    <row r="867" spans="1:15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  <c r="O867">
        <f t="shared" si="13"/>
        <v>9339.7999999999956</v>
      </c>
    </row>
    <row r="868" spans="1:15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  <c r="O868">
        <f t="shared" si="13"/>
        <v>3863.2699999999986</v>
      </c>
    </row>
    <row r="869" spans="1:15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  <c r="O869">
        <f t="shared" si="13"/>
        <v>19124.160000000003</v>
      </c>
    </row>
    <row r="870" spans="1:15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  <c r="O870">
        <f t="shared" si="13"/>
        <v>5724.4199999999901</v>
      </c>
    </row>
    <row r="871" spans="1:15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  <c r="O871">
        <f t="shared" si="13"/>
        <v>3920.6399999999921</v>
      </c>
    </row>
    <row r="872" spans="1:15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  <c r="O872">
        <f t="shared" si="13"/>
        <v>6568.7999999999975</v>
      </c>
    </row>
    <row r="873" spans="1:15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  <c r="O873">
        <f t="shared" si="13"/>
        <v>942.70999999999992</v>
      </c>
    </row>
    <row r="874" spans="1:15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2605.36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  <c r="O874">
        <f t="shared" si="13"/>
        <v>5838.1400000000031</v>
      </c>
    </row>
    <row r="875" spans="1:15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  <c r="O875">
        <f t="shared" si="13"/>
        <v>3189.4500000000007</v>
      </c>
    </row>
    <row r="876" spans="1:15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  <c r="O876">
        <f t="shared" si="13"/>
        <v>7999.1599999999962</v>
      </c>
    </row>
    <row r="877" spans="1:15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  <c r="O877">
        <f t="shared" si="13"/>
        <v>11186.700000000006</v>
      </c>
    </row>
    <row r="878" spans="1:15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  <c r="O878">
        <f t="shared" si="13"/>
        <v>11839.230000000007</v>
      </c>
    </row>
    <row r="879" spans="1:15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  <c r="O879">
        <f t="shared" si="13"/>
        <v>344.0799999999972</v>
      </c>
    </row>
    <row r="880" spans="1:15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  <c r="O880">
        <f t="shared" si="13"/>
        <v>5240.2000000000035</v>
      </c>
    </row>
    <row r="881" spans="1:15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  <c r="O881">
        <f t="shared" si="13"/>
        <v>14930.079999999996</v>
      </c>
    </row>
    <row r="882" spans="1:15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  <c r="O882">
        <f t="shared" si="13"/>
        <v>16281.949999999999</v>
      </c>
    </row>
    <row r="883" spans="1:15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  <c r="O883">
        <f t="shared" si="13"/>
        <v>354.35000000000173</v>
      </c>
    </row>
    <row r="884" spans="1:15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  <c r="O884">
        <f t="shared" si="13"/>
        <v>1579.98</v>
      </c>
    </row>
    <row r="885" spans="1:15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  <c r="O885">
        <f t="shared" si="13"/>
        <v>12396.53999999999</v>
      </c>
    </row>
    <row r="886" spans="1:15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  <c r="O886">
        <f t="shared" si="13"/>
        <v>7844.3400000000111</v>
      </c>
    </row>
    <row r="887" spans="1:15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  <c r="O887">
        <f t="shared" si="13"/>
        <v>7630.2800000000016</v>
      </c>
    </row>
    <row r="888" spans="1:15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1424.17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  <c r="O888">
        <f t="shared" si="13"/>
        <v>14450.100000000008</v>
      </c>
    </row>
    <row r="889" spans="1:15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  <c r="O889">
        <f t="shared" si="13"/>
        <v>3130.9600000000046</v>
      </c>
    </row>
    <row r="890" spans="1:15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  <c r="O890">
        <f t="shared" si="13"/>
        <v>401.48</v>
      </c>
    </row>
    <row r="891" spans="1:15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  <c r="O891">
        <f t="shared" si="13"/>
        <v>14122.149999999992</v>
      </c>
    </row>
    <row r="892" spans="1:15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  <c r="O892">
        <f t="shared" si="13"/>
        <v>8539.2000000000007</v>
      </c>
    </row>
    <row r="893" spans="1:15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  <c r="O893">
        <f t="shared" si="13"/>
        <v>1191.5200000000004</v>
      </c>
    </row>
    <row r="894" spans="1:15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  <c r="O894">
        <f t="shared" si="13"/>
        <v>7007.7000000000171</v>
      </c>
    </row>
    <row r="895" spans="1:15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  <c r="O895">
        <f t="shared" si="13"/>
        <v>1724.239999999998</v>
      </c>
    </row>
    <row r="896" spans="1:15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  <c r="O896">
        <f t="shared" si="13"/>
        <v>3988.4900000000016</v>
      </c>
    </row>
    <row r="897" spans="1:15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  <c r="O897">
        <f t="shared" si="13"/>
        <v>7248.1500000000142</v>
      </c>
    </row>
    <row r="898" spans="1:15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  <c r="O898">
        <f t="shared" si="13"/>
        <v>1235.6799999999998</v>
      </c>
    </row>
    <row r="899" spans="1:15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258.92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  <c r="O899">
        <f t="shared" ref="O899:O962" si="14">(I899-H899)*F899</f>
        <v>4935.5</v>
      </c>
    </row>
    <row r="900" spans="1:15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  <c r="O900">
        <f t="shared" si="14"/>
        <v>1910.6400000000031</v>
      </c>
    </row>
    <row r="901" spans="1:15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  <c r="O901">
        <f t="shared" si="14"/>
        <v>576.68000000000757</v>
      </c>
    </row>
    <row r="902" spans="1:15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  <c r="O902">
        <f t="shared" si="14"/>
        <v>452.9600000000006</v>
      </c>
    </row>
    <row r="903" spans="1:15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  <c r="O903">
        <f t="shared" si="14"/>
        <v>5581.1799999999967</v>
      </c>
    </row>
    <row r="904" spans="1:15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  <c r="O904">
        <f t="shared" si="14"/>
        <v>2509.6799999999985</v>
      </c>
    </row>
    <row r="905" spans="1:15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  <c r="O905">
        <f t="shared" si="14"/>
        <v>18366.160000000003</v>
      </c>
    </row>
    <row r="906" spans="1:15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  <c r="O906">
        <f t="shared" si="14"/>
        <v>14846.620000000008</v>
      </c>
    </row>
    <row r="907" spans="1:15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  <c r="O907">
        <f t="shared" si="14"/>
        <v>6481.8600000000042</v>
      </c>
    </row>
    <row r="908" spans="1:15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  <c r="O908">
        <f t="shared" si="14"/>
        <v>3115.679999999993</v>
      </c>
    </row>
    <row r="909" spans="1:15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  <c r="O909">
        <f t="shared" si="14"/>
        <v>1942.2400000000016</v>
      </c>
    </row>
    <row r="910" spans="1:15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  <c r="O910">
        <f t="shared" si="14"/>
        <v>2290.9900000000002</v>
      </c>
    </row>
    <row r="911" spans="1:15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  <c r="O911">
        <f t="shared" si="14"/>
        <v>6353.0000000000027</v>
      </c>
    </row>
    <row r="912" spans="1:15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2976.01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  <c r="O912">
        <f t="shared" si="14"/>
        <v>899.80000000000109</v>
      </c>
    </row>
    <row r="913" spans="1:15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3552.63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  <c r="O913">
        <f t="shared" si="14"/>
        <v>1286.450000000003</v>
      </c>
    </row>
    <row r="914" spans="1:15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  <c r="O914">
        <f t="shared" si="14"/>
        <v>2365.4399999999987</v>
      </c>
    </row>
    <row r="915" spans="1:15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  <c r="O915">
        <f t="shared" si="14"/>
        <v>791.83999999999287</v>
      </c>
    </row>
    <row r="916" spans="1:15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  <c r="O916">
        <f t="shared" si="14"/>
        <v>598.08000000000038</v>
      </c>
    </row>
    <row r="917" spans="1:15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  <c r="O917">
        <f t="shared" si="14"/>
        <v>16358.52</v>
      </c>
    </row>
    <row r="918" spans="1:15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  <c r="O918">
        <f t="shared" si="14"/>
        <v>1423.1800000000012</v>
      </c>
    </row>
    <row r="919" spans="1:15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  <c r="O919">
        <f t="shared" si="14"/>
        <v>6709.0799999999972</v>
      </c>
    </row>
    <row r="920" spans="1:15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  <c r="O920">
        <f t="shared" si="14"/>
        <v>12289.340000000009</v>
      </c>
    </row>
    <row r="921" spans="1:15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  <c r="O921">
        <f t="shared" si="14"/>
        <v>10224.650000000005</v>
      </c>
    </row>
    <row r="922" spans="1:15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  <c r="O922">
        <f t="shared" si="14"/>
        <v>20049.3</v>
      </c>
    </row>
    <row r="923" spans="1:15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  <c r="O923">
        <f t="shared" si="14"/>
        <v>8634.4299999999985</v>
      </c>
    </row>
    <row r="924" spans="1:15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  <c r="O924">
        <f t="shared" si="14"/>
        <v>762.44000000000051</v>
      </c>
    </row>
    <row r="925" spans="1:15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  <c r="O925">
        <f t="shared" si="14"/>
        <v>12546.540000000008</v>
      </c>
    </row>
    <row r="926" spans="1:15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  <c r="O926">
        <f t="shared" si="14"/>
        <v>18585.209999999992</v>
      </c>
    </row>
    <row r="927" spans="1:15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  <c r="O927">
        <f t="shared" si="14"/>
        <v>480.22000000000662</v>
      </c>
    </row>
    <row r="928" spans="1:15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3027.01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  <c r="O928">
        <f t="shared" si="14"/>
        <v>6983.7500000000091</v>
      </c>
    </row>
    <row r="929" spans="1:15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  <c r="O929">
        <f t="shared" si="14"/>
        <v>12478.7</v>
      </c>
    </row>
    <row r="930" spans="1:15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  <c r="O930">
        <f t="shared" si="14"/>
        <v>4603.8899999999994</v>
      </c>
    </row>
    <row r="931" spans="1:15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  <c r="O931">
        <f t="shared" si="14"/>
        <v>396.3299999999997</v>
      </c>
    </row>
    <row r="932" spans="1:15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  <c r="O932">
        <f t="shared" si="14"/>
        <v>554.39999999999918</v>
      </c>
    </row>
    <row r="933" spans="1:15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  <c r="O933">
        <f t="shared" si="14"/>
        <v>2998.0999999999981</v>
      </c>
    </row>
    <row r="934" spans="1:15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  <c r="O934">
        <f t="shared" si="14"/>
        <v>1203.3000000000006</v>
      </c>
    </row>
    <row r="935" spans="1:15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1466.18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  <c r="O935">
        <f t="shared" si="14"/>
        <v>11745.300000000005</v>
      </c>
    </row>
    <row r="936" spans="1:15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  <c r="O936">
        <f t="shared" si="14"/>
        <v>10719.3</v>
      </c>
    </row>
    <row r="937" spans="1:15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  <c r="O937">
        <f t="shared" si="14"/>
        <v>2720.48</v>
      </c>
    </row>
    <row r="938" spans="1:15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  <c r="O938">
        <f t="shared" si="14"/>
        <v>7571.46</v>
      </c>
    </row>
    <row r="939" spans="1:15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  <c r="O939">
        <f t="shared" si="14"/>
        <v>679.59000000000026</v>
      </c>
    </row>
    <row r="940" spans="1:15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2263.36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  <c r="O940">
        <f t="shared" si="14"/>
        <v>1279.8400000000038</v>
      </c>
    </row>
    <row r="941" spans="1:15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  <c r="O941">
        <f t="shared" si="14"/>
        <v>17686.080000000002</v>
      </c>
    </row>
    <row r="942" spans="1:15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  <c r="O942">
        <f t="shared" si="14"/>
        <v>11912.7</v>
      </c>
    </row>
    <row r="943" spans="1:15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  <c r="O943">
        <f t="shared" si="14"/>
        <v>9374.25</v>
      </c>
    </row>
    <row r="944" spans="1:15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  <c r="O944">
        <f t="shared" si="14"/>
        <v>19269.000000000004</v>
      </c>
    </row>
    <row r="945" spans="1:15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  <c r="O945">
        <f t="shared" si="14"/>
        <v>5569.65</v>
      </c>
    </row>
    <row r="946" spans="1:15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  <c r="O946">
        <f t="shared" si="14"/>
        <v>20344.879999999997</v>
      </c>
    </row>
    <row r="947" spans="1:15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  <c r="O947">
        <f t="shared" si="14"/>
        <v>5565.2500000000036</v>
      </c>
    </row>
    <row r="948" spans="1:15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  <c r="O948">
        <f t="shared" si="14"/>
        <v>14300.160000000007</v>
      </c>
    </row>
    <row r="949" spans="1:15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1669.95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  <c r="O949">
        <f t="shared" si="14"/>
        <v>20994.960000000006</v>
      </c>
    </row>
    <row r="950" spans="1:15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  <c r="O950">
        <f t="shared" si="14"/>
        <v>17165.34</v>
      </c>
    </row>
    <row r="951" spans="1:15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4506.8100000000004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  <c r="O951">
        <f t="shared" si="14"/>
        <v>2506.1000000000276</v>
      </c>
    </row>
    <row r="952" spans="1:15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  <c r="O952">
        <f t="shared" si="14"/>
        <v>6071.5400000000009</v>
      </c>
    </row>
    <row r="953" spans="1:15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  <c r="O953">
        <f t="shared" si="14"/>
        <v>7444.9999999999991</v>
      </c>
    </row>
    <row r="954" spans="1:15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  <c r="O954">
        <f t="shared" si="14"/>
        <v>4005.1199999999862</v>
      </c>
    </row>
    <row r="955" spans="1:15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  <c r="O955">
        <f t="shared" si="14"/>
        <v>3372.7400000000011</v>
      </c>
    </row>
    <row r="956" spans="1:15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  <c r="O956">
        <f t="shared" si="14"/>
        <v>2112.6599999999944</v>
      </c>
    </row>
    <row r="957" spans="1:15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  <c r="O957">
        <f t="shared" si="14"/>
        <v>1649</v>
      </c>
    </row>
    <row r="958" spans="1:15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  <c r="O958">
        <f t="shared" si="14"/>
        <v>8251.7400000000016</v>
      </c>
    </row>
    <row r="959" spans="1:15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  <c r="O959">
        <f t="shared" si="14"/>
        <v>11659.55</v>
      </c>
    </row>
    <row r="960" spans="1:15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  <c r="O960">
        <f t="shared" si="14"/>
        <v>1679.3600000000015</v>
      </c>
    </row>
    <row r="961" spans="1:15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  <c r="O961">
        <f t="shared" si="14"/>
        <v>3031.1000000000004</v>
      </c>
    </row>
    <row r="962" spans="1:15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2578.8000000000002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  <c r="O962">
        <f t="shared" si="14"/>
        <v>3048.9000000000033</v>
      </c>
    </row>
    <row r="963" spans="1:15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  <c r="O963">
        <f t="shared" ref="O963:O1001" si="15">(I963-H963)*F963</f>
        <v>291.26999999999771</v>
      </c>
    </row>
    <row r="964" spans="1:15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  <c r="O964">
        <f t="shared" si="15"/>
        <v>23353.919999999998</v>
      </c>
    </row>
    <row r="965" spans="1:15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  <c r="O965">
        <f t="shared" si="15"/>
        <v>10509.659999999998</v>
      </c>
    </row>
    <row r="966" spans="1:15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  <c r="O966">
        <f t="shared" si="15"/>
        <v>7676.0999999999931</v>
      </c>
    </row>
    <row r="967" spans="1:15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  <c r="O967">
        <f t="shared" si="15"/>
        <v>8740.3800000000047</v>
      </c>
    </row>
    <row r="968" spans="1:15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  <c r="O968">
        <f t="shared" si="15"/>
        <v>309.25999999999931</v>
      </c>
    </row>
    <row r="969" spans="1:15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  <c r="O969">
        <f t="shared" si="15"/>
        <v>6138.44</v>
      </c>
    </row>
    <row r="970" spans="1:15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219.08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  <c r="O970">
        <f t="shared" si="15"/>
        <v>5125.5</v>
      </c>
    </row>
    <row r="971" spans="1:15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  <c r="O971">
        <f t="shared" si="15"/>
        <v>1042.2400000000002</v>
      </c>
    </row>
    <row r="972" spans="1:15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  <c r="O972">
        <f t="shared" si="15"/>
        <v>6889.7599999999993</v>
      </c>
    </row>
    <row r="973" spans="1:15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  <c r="O973">
        <f t="shared" si="15"/>
        <v>137.72000000000025</v>
      </c>
    </row>
    <row r="974" spans="1:15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  <c r="O974">
        <f t="shared" si="15"/>
        <v>13143.810000000003</v>
      </c>
    </row>
    <row r="975" spans="1:15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  <c r="O975">
        <f t="shared" si="15"/>
        <v>10538.319999999992</v>
      </c>
    </row>
    <row r="976" spans="1:15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  <c r="O976">
        <f t="shared" si="15"/>
        <v>347.5600000000004</v>
      </c>
    </row>
    <row r="977" spans="1:15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  <c r="O977">
        <f t="shared" si="15"/>
        <v>17.360000000000127</v>
      </c>
    </row>
    <row r="978" spans="1:15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  <c r="O978">
        <f t="shared" si="15"/>
        <v>1142.6100000000001</v>
      </c>
    </row>
    <row r="979" spans="1:15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4794.01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  <c r="O979">
        <f t="shared" si="15"/>
        <v>8945.7000000000153</v>
      </c>
    </row>
    <row r="980" spans="1:15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  <c r="O980">
        <f t="shared" si="15"/>
        <v>699.83999999999378</v>
      </c>
    </row>
    <row r="981" spans="1:15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  <c r="O981">
        <f t="shared" si="15"/>
        <v>7658.0000000000064</v>
      </c>
    </row>
    <row r="982" spans="1:15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  <c r="O982">
        <f t="shared" si="15"/>
        <v>2245.1199999999953</v>
      </c>
    </row>
    <row r="983" spans="1:15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  <c r="O983">
        <f t="shared" si="15"/>
        <v>7282.7999999999984</v>
      </c>
    </row>
    <row r="984" spans="1:15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  <c r="O984">
        <f t="shared" si="15"/>
        <v>2744.74</v>
      </c>
    </row>
    <row r="985" spans="1:15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  <c r="O985">
        <f t="shared" si="15"/>
        <v>7416.3600000000079</v>
      </c>
    </row>
    <row r="986" spans="1:15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  <c r="O986">
        <f t="shared" si="15"/>
        <v>16829.769999999975</v>
      </c>
    </row>
    <row r="987" spans="1:15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  <c r="O987">
        <f t="shared" si="15"/>
        <v>12722.399999999998</v>
      </c>
    </row>
    <row r="988" spans="1:15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  <c r="O988">
        <f t="shared" si="15"/>
        <v>13834.239999999998</v>
      </c>
    </row>
    <row r="989" spans="1:15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  <c r="O989">
        <f t="shared" si="15"/>
        <v>4011</v>
      </c>
    </row>
    <row r="990" spans="1:15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  <c r="O990">
        <f t="shared" si="15"/>
        <v>3798.7199999999993</v>
      </c>
    </row>
    <row r="991" spans="1:15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  <c r="O991">
        <f t="shared" si="15"/>
        <v>4848.1999999999898</v>
      </c>
    </row>
    <row r="992" spans="1:15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  <c r="O992">
        <f t="shared" si="15"/>
        <v>2065.6700000000005</v>
      </c>
    </row>
    <row r="993" spans="1:15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  <c r="O993">
        <f t="shared" si="15"/>
        <v>995.35999999999694</v>
      </c>
    </row>
    <row r="994" spans="1:15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  <c r="O994">
        <f t="shared" si="15"/>
        <v>12155.499999999998</v>
      </c>
    </row>
    <row r="995" spans="1:15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  <c r="O995">
        <f t="shared" si="15"/>
        <v>6453.0999999999876</v>
      </c>
    </row>
    <row r="996" spans="1:15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  <c r="O996">
        <f t="shared" si="15"/>
        <v>4178.1800000000057</v>
      </c>
    </row>
    <row r="997" spans="1:15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  <c r="O997">
        <f t="shared" si="15"/>
        <v>1996.4799999999996</v>
      </c>
    </row>
    <row r="998" spans="1:15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1856.4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  <c r="O998">
        <f t="shared" si="15"/>
        <v>3776.9600000000055</v>
      </c>
    </row>
    <row r="999" spans="1:15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  <c r="O999">
        <f t="shared" si="15"/>
        <v>1403.3499999999992</v>
      </c>
    </row>
    <row r="1000" spans="1:15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  <c r="O1000">
        <f t="shared" si="15"/>
        <v>2276.0399999999872</v>
      </c>
    </row>
    <row r="1001" spans="1:15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  <c r="O1001">
        <f t="shared" si="15"/>
        <v>14116.799999999996</v>
      </c>
    </row>
  </sheetData>
  <conditionalFormatting sqref="E2:E1001">
    <cfRule type="cellIs" dxfId="0" priority="1" operator="greaterThan">
      <formula>8000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 Pivot</vt:lpstr>
      <vt:lpstr>Profit Pivot</vt:lpstr>
      <vt:lpstr>sales_data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revision>0</cp:revision>
  <dcterms:created xsi:type="dcterms:W3CDTF">2026-10-08T11:38:21Z</dcterms:created>
  <dcterms:modified xsi:type="dcterms:W3CDTF">2026-10-25T06:48:46Z</dcterms:modified>
  <dc:language>en-IN</dc:language>
</cp:coreProperties>
</file>